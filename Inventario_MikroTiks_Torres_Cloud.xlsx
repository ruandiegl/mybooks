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bf8a3e2ab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kroTiks Torres" sheetId="1" r:id="Rb342a161b6884c41"/>
    <x:sheet xmlns:r="http://schemas.openxmlformats.org/officeDocument/2006/relationships" name="Resumo" sheetId="2" r:id="Rdf1de9a341564c20"/>
    <x:sheet xmlns:r="http://schemas.openxmlformats.org/officeDocument/2006/relationships" name="Gateways Ausentes" sheetId="3" r:id="R8d364cbc129244b7"/>
    <x:sheet xmlns:r="http://schemas.openxmlformats.org/officeDocument/2006/relationships" name="Links Cloud" sheetId="4" r:id="R7d8c89e12e81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#,##0"/>
  </x:numFmts>
  <x:fonts count="12">
    <x:font>
      <x:sz val="11"/>
      <x:name val="Carlito"/>
    </x:font>
    <x:font>
      <x:b/>
      <x:sz val="11"/>
      <x:color rgb="FFFFFFFF"/>
      <x:name val="Carlito"/>
    </x:font>
    <x:font>
      <x:sz val="11"/>
      <x:color rgb="FF385723"/>
      <x:name val="Carlito"/>
    </x:font>
    <x:font>
      <x:sz val="11"/>
      <x:color rgb="FF7F6000"/>
      <x:name val="Carlito"/>
    </x:font>
    <x:font>
      <x:sz val="11"/>
      <x:color rgb="FF115E59"/>
      <x:name val="Carlito"/>
    </x:font>
    <x:font>
      <x:b/>
      <x:sz val="11"/>
      <x:color rgb="FF065F46"/>
      <x:name val="Carlito"/>
    </x:font>
    <x:font>
      <x:b/>
      <x:sz val="11"/>
      <x:color rgb="FF0F766E"/>
      <x:name val="Carlito"/>
    </x:font>
    <x:font>
      <x:b/>
      <x:sz val="11"/>
      <x:color rgb="FF0B1F3A"/>
      <x:name val="Carlito"/>
    </x:font>
    <x:font>
      <x:b/>
      <x:sz val="11"/>
      <x:color rgb="FF374151"/>
      <x:name val="Carlito"/>
    </x:font>
    <x:font>
      <x:b/>
      <x:sz val="11"/>
      <x:color rgb="FF334155"/>
      <x:name val="Carlito"/>
    </x:font>
    <x:font>
      <x:sz val="11"/>
      <x:color rgb="FF475569"/>
      <x:name val="Carlito"/>
    </x:font>
    <x:font>
      <x:sz val="11"/>
      <x:color rgb="FF9C0006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45DA0"/>
      </x:patternFill>
    </x:fill>
    <x:fill>
      <x:patternFill patternType="solid">
        <x:fgColor rgb="FF0F766E"/>
      </x:patternFill>
    </x:fill>
    <x:fill>
      <x:patternFill patternType="solid">
        <x:fgColor rgb="FFE6FFFB"/>
      </x:patternFill>
    </x:fill>
    <x:fill>
      <x:patternFill patternType="solid">
        <x:fgColor rgb="FFD1FAE5"/>
      </x:patternFill>
    </x:fill>
    <x:fill>
      <x:patternFill patternType="solid">
        <x:fgColor rgb="FFF0FDFA"/>
      </x:patternFill>
    </x:fill>
    <x:fill>
      <x:patternFill patternType="solid">
        <x:fgColor rgb="FFDDEBF7"/>
      </x:patternFill>
    </x:fill>
    <x:fill>
      <x:patternFill patternType="solid">
        <x:fgColor rgb="FFF3F4F6"/>
      </x:patternFill>
    </x:fill>
    <x:fill>
      <x:patternFill patternType="solid">
        <x:fgColor rgb="FFF8FAFC"/>
      </x:patternFill>
    </x:fill>
    <x:fill>
      <x:patternFill patternType="solid">
        <x:fgColor rgb="FF9C0006"/>
      </x:patternFill>
    </x:fill>
    <x:fill>
      <x:patternFill patternType="solid">
        <x:fgColor rgb="FFFCE4D6"/>
      </x:patternFill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45DA0"/>
      </x:patternFill>
    </x:fill>
    <x:fill>
      <x:patternFill patternType="solid">
        <x:fgColor rgb="FFE6FFFB"/>
      </x:patternFill>
    </x:fill>
    <x:fill>
      <x:patternFill patternType="solid">
        <x:fgColor rgb="FFD1FAE5"/>
      </x:patternFill>
    </x:fill>
    <x:fill>
      <x:patternFill patternType="solid">
        <x:fgColor rgb="FFF0FDFA"/>
      </x:patternFill>
    </x:fill>
    <x:fill>
      <x:patternFill patternType="solid">
        <x:fgColor rgb="FF0F766E"/>
      </x:patternFill>
    </x:fill>
  </x:fills>
  <x:borders count="14">
    <x:border/>
    <x:border>
      <x:left style="thin">
        <x:color rgb="FFB7C9E2"/>
      </x:left>
      <x:right style="thin">
        <x:color rgb="FFB7C9E2"/>
      </x:right>
      <x:top style="thin">
        <x:color rgb="FFB7C9E2"/>
      </x:top>
      <x:bottom style="thin">
        <x:color rgb="FFB7C9E2"/>
      </x:bottom>
    </x:border>
    <x:border>
      <x:right style="thin">
        <x:color rgb="FFE3EAF3"/>
      </x:right>
      <x:bottom style="thin">
        <x:color rgb="FFE3EAF3"/>
      </x:bottom>
    </x:border>
    <x:border>
      <x:left style="thin">
        <x:color rgb="FFE3EAF3"/>
      </x:left>
      <x:right style="thin">
        <x:color rgb="FFE3EAF3"/>
      </x:right>
      <x:bottom style="thin">
        <x:color rgb="FFE3EAF3"/>
      </x:bottom>
    </x:border>
    <x:border>
      <x:left style="thin">
        <x:color rgb="FFE3EAF3"/>
      </x:left>
      <x:bottom style="thin">
        <x:color rgb="FFE3EAF3"/>
      </x:bottom>
    </x:border>
    <x:border>
      <x:right style="thin">
        <x:color rgb="FFE3EAF3"/>
      </x:right>
      <x:top style="thin">
        <x:color rgb="FFE3EAF3"/>
      </x:top>
      <x:bottom style="thin">
        <x:color rgb="FFE3EAF3"/>
      </x:bottom>
    </x:border>
    <x:border>
      <x:left style="thin">
        <x:color rgb="FFE3EAF3"/>
      </x:left>
      <x:right style="thin">
        <x:color rgb="FFE3EAF3"/>
      </x:right>
      <x:top style="thin">
        <x:color rgb="FFE3EAF3"/>
      </x:top>
      <x:bottom style="thin">
        <x:color rgb="FFE3EAF3"/>
      </x:bottom>
    </x:border>
    <x:border>
      <x:left style="thin">
        <x:color rgb="FFE3EAF3"/>
      </x:left>
      <x:top style="thin">
        <x:color rgb="FFE3EAF3"/>
      </x:top>
      <x:bottom style="thin">
        <x:color rgb="FFE3EAF3"/>
      </x:bottom>
    </x:border>
    <x:border>
      <x:right style="thin">
        <x:color rgb="FFE3EAF3"/>
      </x:right>
      <x:top style="thin">
        <x:color rgb="FFE3EAF3"/>
      </x:top>
    </x:border>
    <x:border>
      <x:left style="thin">
        <x:color rgb="FFE3EAF3"/>
      </x:left>
      <x:right style="thin">
        <x:color rgb="FFE3EAF3"/>
      </x:right>
      <x:top style="thin">
        <x:color rgb="FFE3EAF3"/>
      </x:top>
    </x:border>
    <x:border>
      <x:left style="thin">
        <x:color rgb="FFE3EAF3"/>
      </x:left>
      <x:top style="thin">
        <x:color rgb="FFE3EAF3"/>
      </x:top>
    </x:border>
    <x:border>
      <x:left style="thin">
        <x:color rgb="FF99F6E4"/>
      </x:left>
      <x:top style="thin">
        <x:color rgb="FF99F6E4"/>
      </x:top>
      <x:bottom style="thin">
        <x:color rgb="FF99F6E4"/>
      </x:bottom>
    </x:border>
    <x:border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top style="thin">
        <x:color rgb="FF99F6E4"/>
      </x:top>
      <x:bottom style="thin">
        <x:color rgb="FF99F6E4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1" xfId="0" applyNumberFormat="1" applyFont="1" applyFill="1" applyBorder="1"/>
    <x:xf numFmtId="0" fontId="6" fillId="9" borderId="12" xfId="0" applyNumberFormat="1" applyFont="1" applyFill="1" applyBorder="1"/>
    <x:xf numFmtId="201" fontId="6" fillId="9" borderId="11" xfId="0" applyNumberFormat="1" applyFont="1" applyFill="1" applyBorder="1"/>
    <x:xf numFmtId="201" fontId="6" fillId="9" borderId="12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2" fontId="0" fillId="0" borderId="1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202" fontId="8" fillId="11" borderId="0" xfId="0" applyNumberFormat="1" applyFont="1" applyFill="1" applyBorder="1" applyAlignment="1">
      <x:alignment wrapText="1"/>
    </x:xf>
    <x:xf numFmtId="0" fontId="0" fillId="12" borderId="2" xfId="0" applyNumberFormat="1" applyFont="1" applyFill="1" applyBorder="1" applyAlignment="1">
      <x:alignment wrapText="1"/>
    </x:xf>
    <x:xf numFmtId="0" fontId="0" fillId="12" borderId="5" xfId="0" applyNumberFormat="1" applyFont="1" applyFill="1" applyBorder="1" applyAlignment="1">
      <x:alignment wrapText="1"/>
    </x:xf>
    <x:xf numFmtId="0" fontId="0" fillId="12" borderId="8" xfId="0" applyNumberFormat="1" applyFont="1" applyFill="1" applyBorder="1" applyAlignment="1">
      <x:alignment wrapText="1"/>
    </x:xf>
    <x:xf numFmtId="0" fontId="9" fillId="12" borderId="2" xfId="0" applyNumberFormat="1" applyFont="1" applyFill="1" applyBorder="1" applyAlignment="1">
      <x:alignment wrapText="1"/>
    </x:xf>
    <x:xf numFmtId="0" fontId="9" fillId="12" borderId="5" xfId="0" applyNumberFormat="1" applyFont="1" applyFill="1" applyBorder="1" applyAlignment="1">
      <x:alignment wrapText="1"/>
    </x:xf>
    <x:xf numFmtId="0" fontId="9" fillId="12" borderId="8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1" fillId="18" borderId="1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1" xfId="0" applyNumberFormat="1" applyFont="1" applyFill="1" applyBorder="1"/>
    <x:xf numFmtId="0" fontId="4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6" fillId="21" borderId="11" xfId="0" applyNumberFormat="1" applyFont="1" applyFill="1" applyBorder="1"/>
    <x:xf numFmtId="0" fontId="6" fillId="21" borderId="13" xfId="0" applyNumberFormat="1" applyFont="1" applyFill="1" applyBorder="1"/>
    <x:xf numFmtId="0" fontId="6" fillId="21" borderId="12" xfId="0" applyNumberFormat="1" applyFont="1" applyFill="1" applyBorder="1"/>
    <x:xf numFmtId="202" fontId="6" fillId="21" borderId="11" xfId="0" applyNumberFormat="1" applyFont="1" applyFill="1" applyBorder="1"/>
    <x:xf numFmtId="202" fontId="6" fillId="21" borderId="13" xfId="0" applyNumberFormat="1" applyFont="1" applyFill="1" applyBorder="1"/>
    <x:xf numFmtId="202" fontId="6" fillId="21" borderId="12" xfId="0" applyNumberFormat="1" applyFont="1" applyFill="1" applyBorder="1"/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1" fillId="22" borderId="1" xfId="0" applyNumberFormat="1" applyFont="1" applyFill="1" applyBorder="1"/>
    <x:xf numFmtId="0" fontId="1" fillId="22" borderId="1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204a5fb414900" /><Relationship Type="http://schemas.openxmlformats.org/officeDocument/2006/relationships/theme" Target="/xl/theme/theme1.xml" Id="R8ce7d94a3c074690" /><Relationship Type="http://schemas.openxmlformats.org/officeDocument/2006/relationships/sharedStrings" Target="/xl/sharedStrings.xml" Id="R8f311b433ca64041" /><Relationship Type="http://schemas.openxmlformats.org/officeDocument/2006/relationships/worksheet" Target="/xl/worksheets/sheet1.xml" Id="Rb342a161b6884c41" /><Relationship Type="http://schemas.openxmlformats.org/officeDocument/2006/relationships/worksheet" Target="/xl/worksheets/sheet2.xml" Id="Rdf1de9a341564c20" /><Relationship Type="http://schemas.openxmlformats.org/officeDocument/2006/relationships/worksheet" Target="/xl/worksheets/sheet3.xml" Id="R8d364cbc129244b7" /><Relationship Type="http://schemas.openxmlformats.org/officeDocument/2006/relationships/worksheet" Target="/xl/worksheets/sheet4.xml" Id="R7d8c89e12e814ca0" /></Relationships>
</file>

<file path=xl/tables/table1.xml><?xml version="1.0" encoding="utf-8"?>
<x:table xmlns:x="http://schemas.openxmlformats.org/spreadsheetml/2006/main" id="3" name="MikroTiksTorresTable" displayName="MikroTiksTorresTable" ref="A5:N23" headerRowCount="1" totalsRowCount="0" totalsRowShown="0">
  <x:autoFilter ref="A5:N23"/>
  <x:tableColumns count="14">
    <x:tableColumn id="1" name="IP/Host"/>
    <x:tableColumn id="2" name="Nome Zabbix"/>
    <x:tableColumn id="3" name="Tipo"/>
    <x:tableColumn id="4" name="Host Groups"/>
    <x:tableColumn id="5" name="Interfaces"/>
    <x:tableColumn id="6" name="Cidade"/>
    <x:tableColumn id="7" name="Status"/>
    <x:tableColumn id="8" name="Porta"/>
    <x:tableColumn id="9" name="Tipo de interface"/>
    <x:tableColumn id="10" name="Disponibilidade"/>
    <x:tableColumn id="11" name="Interface principal"/>
    <x:tableColumn id="12" name="Cloud endpoint(s)"/>
    <x:tableColumn id="13" name="Cloud detalhes"/>
    <x:tableColumn id="14" name="Cloud v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tewaysAusentesTable" displayName="GatewaysAusentesTable" ref="A4:C16" headerRowCount="1" totalsRowCount="0" totalsRowShown="0">
  <x:autoFilter ref="A4:C16"/>
  <x:tableColumns count="3">
    <x:tableColumn id="1" name="IP Gateway"/>
    <x:tableColumn id="2" name="Status no Zabbix"/>
    <x:tableColumn id="3" name="Observaçã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" name="LinksCloudTable" displayName="LinksCloudTable" ref="A4:J60" headerRowCount="1" totalsRowCount="0" totalsRowShown="0">
  <x:autoFilter ref="A4:J60"/>
  <x:tableColumns count="10">
    <x:tableColumn id="1" name="Cidade"/>
    <x:tableColumn id="2" name="Unidade"/>
    <x:tableColumn id="3" name="Site informado"/>
    <x:tableColumn id="4" name="Operadora / Link"/>
    <x:tableColumn id="5" name="Interface"/>
    <x:tableColumn id="6" name="Modo"/>
    <x:tableColumn id="7" name="Situação / Observação"/>
    <x:tableColumn id="8" name="Host Cloud"/>
    <x:tableColumn id="9" name="Porta"/>
    <x:tableColumn id="10" name="V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0b51979dbe4d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6b56f9e7a842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35a0e69be044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3" hidden="0" customWidth="1"/>
    <x:col min="3" max="3" width="18" hidden="0" customWidth="1"/>
    <x:col min="4" max="4" width="34" hidden="0" customWidth="1"/>
    <x:col min="5" max="5" width="48" hidden="0" customWidth="1"/>
    <x:col min="6" max="6" width="24" hidden="0" customWidth="1"/>
    <x:col min="7" max="7" width="16" hidden="0" customWidth="1"/>
    <x:col min="8" max="8" width="10" hidden="0" customWidth="1"/>
    <x:col min="9" max="9" width="18" hidden="0" customWidth="1"/>
    <x:col min="10" max="10" width="18" hidden="0" customWidth="1"/>
    <x:col min="11" max="11" width="20" hidden="0" customWidth="1"/>
    <x:col min="12" max="12" width="40" hidden="0" customWidth="1"/>
    <x:col min="13" max="13" width="52" hidden="0" customWidth="1"/>
    <x:col min="14" max="14" width="18" hidden="0" customWidth="1"/>
  </x:cols>
  <x:sheetData>
    <x:row r="1" ht="28" customHeight="1">
      <x:c r="A1" s="75" t="str">
        <x:v>MikroTiks Torres | Inventário Zabbix 7.4.14</x:v>
      </x:c>
      <x:c r="B1" s="75" t="str">
        <x:v>MikroTiks Torres | Inventário Zabbix 7.4.14</x:v>
      </x:c>
      <x:c r="C1" s="75" t="str">
        <x:v>MikroTiks Torres | Inventário Zabbix 7.4.14</x:v>
      </x:c>
      <x:c r="D1" s="75" t="str">
        <x:v>MikroTiks Torres | Inventário Zabbix 7.4.14</x:v>
      </x:c>
      <x:c r="E1" s="75" t="str">
        <x:v>MikroTiks Torres | Inventário Zabbix 7.4.14</x:v>
      </x:c>
      <x:c r="F1" s="75" t="str">
        <x:v>MikroTiks Torres | Inventário Zabbix 7.4.14</x:v>
      </x:c>
      <x:c r="G1" s="75" t="str">
        <x:v>MikroTiks Torres | Inventário Zabbix 7.4.14</x:v>
      </x:c>
      <x:c r="H1" s="75" t="str">
        <x:v>MikroTiks Torres | Inventário Zabbix 7.4.14</x:v>
      </x:c>
      <x:c r="I1" s="75" t="str">
        <x:v>MikroTiks Torres | Inventário Zabbix 7.4.14</x:v>
      </x:c>
      <x:c r="J1" s="75" t="str">
        <x:v>MikroTiks Torres | Inventário Zabbix 7.4.14</x:v>
      </x:c>
      <x:c r="K1" s="75" t="str">
        <x:v>MikroTiks Torres | Inventário Zabbix 7.4.14</x:v>
      </x:c>
      <x:c r="L1" s="75" t="str">
        <x:v>MikroTiks Torres | Inventário Zabbix 7.4.14</x:v>
      </x:c>
      <x:c r="M1" s="75" t="str">
        <x:v>MikroTiks Torres | Inventário Zabbix 7.4.14</x:v>
      </x:c>
      <x:c r="N1" s="75" t="str">
        <x:v>MikroTiks Torres | Inventário Zabbix 7.4.14</x:v>
      </x:c>
    </x:row>
    <x:row r="2">
      <x:c r="A2" s="78" t="str">
        <x:v>Fonte: INVENTARIO_ZABBIX.md | Links cloud adicionados conforme dados fornecidos pelo usuário em 2026-08-28</x:v>
      </x:c>
      <x:c r="B2" s="78" t="str">
        <x:v>Fonte: INVENTARIO_ZABBIX.md | Links cloud adicionados conforme dados fornecidos pelo usuário em 2026-08-28</x:v>
      </x:c>
      <x:c r="C2" s="78" t="str">
        <x:v>Fonte: INVENTARIO_ZABBIX.md | Links cloud adicionados conforme dados fornecidos pelo usuário em 2026-08-28</x:v>
      </x:c>
      <x:c r="D2" s="78" t="str">
        <x:v>Fonte: INVENTARIO_ZABBIX.md | Links cloud adicionados conforme dados fornecidos pelo usuário em 2026-08-28</x:v>
      </x:c>
      <x:c r="E2" s="78" t="str">
        <x:v>Fonte: INVENTARIO_ZABBIX.md | Links cloud adicionados conforme dados fornecidos pelo usuário em 2026-08-28</x:v>
      </x:c>
      <x:c r="F2" s="78" t="str">
        <x:v>Fonte: INVENTARIO_ZABBIX.md | Links cloud adicionados conforme dados fornecidos pelo usuário em 2026-08-28</x:v>
      </x:c>
      <x:c r="G2" s="78" t="str">
        <x:v>Fonte: INVENTARIO_ZABBIX.md | Links cloud adicionados conforme dados fornecidos pelo usuário em 2026-08-28</x:v>
      </x:c>
      <x:c r="H2" s="78" t="str">
        <x:v>Fonte: INVENTARIO_ZABBIX.md | Links cloud adicionados conforme dados fornecidos pelo usuário em 2026-08-28</x:v>
      </x:c>
      <x:c r="I2" s="78" t="str">
        <x:v>Fonte: INVENTARIO_ZABBIX.md | Links cloud adicionados conforme dados fornecidos pelo usuário em 2026-08-28</x:v>
      </x:c>
      <x:c r="J2" s="78" t="str">
        <x:v>Fonte: INVENTARIO_ZABBIX.md | Links cloud adicionados conforme dados fornecidos pelo usuário em 2026-08-28</x:v>
      </x:c>
      <x:c r="K2" s="78" t="str">
        <x:v>Fonte: INVENTARIO_ZABBIX.md | Links cloud adicionados conforme dados fornecidos pelo usuário em 2026-08-28</x:v>
      </x:c>
      <x:c r="L2" s="78" t="str">
        <x:v>Fonte: INVENTARIO_ZABBIX.md | Links cloud adicionados conforme dados fornecidos pelo usuário em 2026-08-28</x:v>
      </x:c>
      <x:c r="M2" s="78" t="str">
        <x:v>Fonte: INVENTARIO_ZABBIX.md | Links cloud adicionados conforme dados fornecidos pelo usuário em 2026-08-28</x:v>
      </x:c>
      <x:c r="N2" s="78" t="str">
        <x:v>Fonte: INVENTARIO_ZABBIX.md | Links cloud adicionados conforme dados fornecidos pelo usuário em 2026-08-28</x:v>
      </x:c>
    </x:row>
    <x:row r="4">
      <x:c r="A4" s="81" t="str">
        <x:v>Campos ausentes são apresentados como NÃO INFORMADO. Os endpoints cloud detalhados estão também na aba Links Cloud.</x:v>
      </x:c>
      <x:c r="B4" s="81" t="str">
        <x:v>Campos ausentes são apresentados como NÃO INFORMADO. Os endpoints cloud detalhados estão também na aba Links Cloud.</x:v>
      </x:c>
      <x:c r="C4" s="81" t="str">
        <x:v>Campos ausentes são apresentados como NÃO INFORMADO. Os endpoints cloud detalhados estão também na aba Links Cloud.</x:v>
      </x:c>
      <x:c r="D4" s="81" t="str">
        <x:v>Campos ausentes são apresentados como NÃO INFORMADO. Os endpoints cloud detalhados estão também na aba Links Cloud.</x:v>
      </x:c>
      <x:c r="E4" s="81" t="str">
        <x:v>Campos ausentes são apresentados como NÃO INFORMADO. Os endpoints cloud detalhados estão também na aba Links Cloud.</x:v>
      </x:c>
      <x:c r="F4" s="81" t="str">
        <x:v>Campos ausentes são apresentados como NÃO INFORMADO. Os endpoints cloud detalhados estão também na aba Links Cloud.</x:v>
      </x:c>
      <x:c r="G4" s="81" t="str">
        <x:v>Campos ausentes são apresentados como NÃO INFORMADO. Os endpoints cloud detalhados estão também na aba Links Cloud.</x:v>
      </x:c>
      <x:c r="H4" s="81" t="str">
        <x:v>Campos ausentes são apresentados como NÃO INFORMADO. Os endpoints cloud detalhados estão também na aba Links Cloud.</x:v>
      </x:c>
      <x:c r="I4" s="81" t="str">
        <x:v>Campos ausentes são apresentados como NÃO INFORMADO. Os endpoints cloud detalhados estão também na aba Links Cloud.</x:v>
      </x:c>
      <x:c r="J4" s="81" t="str">
        <x:v>Campos ausentes são apresentados como NÃO INFORMADO. Os endpoints cloud detalhados estão também na aba Links Cloud.</x:v>
      </x:c>
      <x:c r="K4" s="81" t="str">
        <x:v>Campos ausentes são apresentados como NÃO INFORMADO. Os endpoints cloud detalhados estão também na aba Links Cloud.</x:v>
      </x:c>
      <x:c r="L4" s="81" t="str">
        <x:v>Campos ausentes são apresentados como NÃO INFORMADO. Os endpoints cloud detalhados estão também na aba Links Cloud.</x:v>
      </x:c>
      <x:c r="M4" s="81" t="str">
        <x:v>Campos ausentes são apresentados como NÃO INFORMADO. Os endpoints cloud detalhados estão também na aba Links Cloud.</x:v>
      </x:c>
      <x:c r="N4" s="81" t="str">
        <x:v>Campos ausentes são apresentados como NÃO INFORMADO. Os endpoints cloud detalhados estão também na aba Links Cloud.</x:v>
      </x:c>
    </x:row>
    <x:row r="5" ht="30" customHeight="1">
      <x:c r="A5" s="84" t="str">
        <x:v>IP/Host</x:v>
      </x:c>
      <x:c r="B5" s="84" t="str">
        <x:v>Nome Zabbix</x:v>
      </x:c>
      <x:c r="C5" s="84" t="str">
        <x:v>Tipo</x:v>
      </x:c>
      <x:c r="D5" s="84" t="str">
        <x:v>Host Groups</x:v>
      </x:c>
      <x:c r="E5" s="84" t="str">
        <x:v>Interfaces</x:v>
      </x:c>
      <x:c r="F5" s="84" t="str">
        <x:v>Cidade</x:v>
      </x:c>
      <x:c r="G5" s="84" t="str">
        <x:v>Status</x:v>
      </x:c>
      <x:c r="H5" s="84" t="str">
        <x:v>Porta</x:v>
      </x:c>
      <x:c r="I5" s="84" t="str">
        <x:v>Tipo de interface</x:v>
      </x:c>
      <x:c r="J5" s="84" t="str">
        <x:v>Disponibilidade</x:v>
      </x:c>
      <x:c r="K5" s="84" t="str">
        <x:v>Interface principal</x:v>
      </x:c>
      <x:c r="L5" s="84" t="str">
        <x:v>Cloud endpoint(s)</x:v>
      </x:c>
      <x:c r="M5" s="84" t="str">
        <x:v>Cloud detalhes</x:v>
      </x:c>
      <x:c r="N5" s="84" t="str">
        <x:v>Cloud via</x:v>
      </x:c>
    </x:row>
    <x:row r="6" ht="42" customHeight="1">
      <x:c r="A6" s="23" t="str">
        <x:v>10.89.2.1</x:v>
      </x:c>
      <x:c r="B6" s="24" t="str">
        <x:v>Mikrotik - UBERLANDIA - Torre</x:v>
      </x:c>
      <x:c r="C6" s="24" t="str">
        <x:v>Mikrotik</x:v>
      </x:c>
      <x:c r="D6" s="24" t="str">
        <x:v>Mikrotik, Uberlandia, Torre</x:v>
      </x:c>
      <x:c r="E6" s="24" t="str">
        <x:v>10.89.2.1 / DNS=NÃO INFORMADO / porta=161 / tipo=2 / principal=1 / disponibilidade=1</x:v>
      </x:c>
      <x:c r="F6" s="24" t="str">
        <x:v>Uberlandia</x:v>
      </x:c>
      <x:c r="G6" s="24" t="str">
        <x:v>HABILITADO</x:v>
      </x:c>
      <x:c r="H6" s="32" t="n">
        <x:v>161</x:v>
      </x:c>
      <x:c r="I6" s="24" t="str">
        <x:v>2</x:v>
      </x:c>
      <x:c r="J6" s="24" t="str">
        <x:v>1</x:v>
      </x:c>
      <x:c r="K6" s="24" t="str">
        <x:v>1</x:v>
      </x:c>
      <x:c r="L6" s="24" t="str">
        <x:v>hhd0a4mcmb4.sn.mynetname.net:3199</x:v>
      </x:c>
      <x:c r="M6" s="24" t="str">
        <x:v>ALGAR / ether1 / +IP</x:v>
      </x:c>
      <x:c r="N6" s="24" t="str">
        <x:v>NÃO INFORMADO</x:v>
      </x:c>
    </x:row>
    <x:row r="7" ht="42" customHeight="1">
      <x:c r="A7" s="26" t="str">
        <x:v>10.89.3.1</x:v>
      </x:c>
      <x:c r="B7" s="27" t="str">
        <x:v>Mikrotik - JUIZ DE FORA - Torre</x:v>
      </x:c>
      <x:c r="C7" s="27" t="str">
        <x:v>Mikrotik</x:v>
      </x:c>
      <x:c r="D7" s="27" t="str">
        <x:v>Mikrotik, Juiz de Fora, Torre</x:v>
      </x:c>
      <x:c r="E7" s="27" t="str">
        <x:v>10.89.3.1 / DNS=NÃO INFORMADO / porta=161 / tipo=2 / principal=1 / disponibilidade=1</x:v>
      </x:c>
      <x:c r="F7" s="27" t="str">
        <x:v>Juiz de Fora</x:v>
      </x:c>
      <x:c r="G7" s="27" t="str">
        <x:v>HABILITADO</x:v>
      </x:c>
      <x:c r="H7" s="33" t="n">
        <x:v>161</x:v>
      </x:c>
      <x:c r="I7" s="27" t="str">
        <x:v>2</x:v>
      </x:c>
      <x:c r="J7" s="27" t="str">
        <x:v>1</x:v>
      </x:c>
      <x:c r="K7" s="27" t="str">
        <x:v>1</x:v>
      </x:c>
      <x:c r="L7" s="27" t="str">
        <x:v>hhm0a3gyphm.sn.mynetname.net:3199</x:v>
      </x:c>
      <x:c r="M7" s="27" t="str">
        <x:v>ALGAR / ether1 / +IP
VERO / ether2 / DHCP</x:v>
      </x:c>
      <x:c r="N7" s="27" t="str">
        <x:v>NÃO INFORMADO</x:v>
      </x:c>
    </x:row>
    <x:row r="8" ht="42" customHeight="1">
      <x:c r="A8" s="26" t="str">
        <x:v>10.89.4.1</x:v>
      </x:c>
      <x:c r="B8" s="27" t="str">
        <x:v>Mikrotik - GOVERNADOR VALADARES - Torre</x:v>
      </x:c>
      <x:c r="C8" s="27" t="str">
        <x:v>Mikrotik</x:v>
      </x:c>
      <x:c r="D8" s="27" t="str">
        <x:v>Mikrotik, Governador Valadares, Torre</x:v>
      </x:c>
      <x:c r="E8" s="27" t="str">
        <x:v>10.89.4.1 / DNS=NÃO INFORMADO / porta=161 / tipo=2 / principal=1 / disponibilidade=1</x:v>
      </x:c>
      <x:c r="F8" s="27" t="str">
        <x:v>Governador Valadares</x:v>
      </x:c>
      <x:c r="G8" s="27" t="str">
        <x:v>HABILITADO</x:v>
      </x:c>
      <x:c r="H8" s="33" t="n">
        <x:v>161</x:v>
      </x:c>
      <x:c r="I8" s="27" t="str">
        <x:v>2</x:v>
      </x:c>
      <x:c r="J8" s="27" t="str">
        <x:v>1</x:v>
      </x:c>
      <x:c r="K8" s="27" t="str">
        <x:v>1</x:v>
      </x:c>
      <x:c r="L8" s="27" t="str">
        <x:v>hk00ah3temt.sn.mynetname.net:3199</x:v>
      </x:c>
      <x:c r="M8" s="27" t="str">
        <x:v>SUPERNET / ether1 / +IP (ativo)</x:v>
      </x:c>
      <x:c r="N8" s="27" t="str">
        <x:v>NÃO INFORMADO</x:v>
      </x:c>
    </x:row>
    <x:row r="9" ht="42" customHeight="1">
      <x:c r="A9" s="26" t="str">
        <x:v>10.89.5.1</x:v>
      </x:c>
      <x:c r="B9" s="27" t="str">
        <x:v>Mikrotik - BARBACENA - Torre</x:v>
      </x:c>
      <x:c r="C9" s="27" t="str">
        <x:v>Mikrotik</x:v>
      </x:c>
      <x:c r="D9" s="27" t="str">
        <x:v>Mikrotik, Barbacena, Torre</x:v>
      </x:c>
      <x:c r="E9" s="27" t="str">
        <x:v>10.89.5.1 / DNS=NÃO INFORMADO / porta=161 / tipo=2 / principal=1 / disponibilidade=1</x:v>
      </x:c>
      <x:c r="F9" s="27" t="str">
        <x:v>Barbacena</x:v>
      </x:c>
      <x:c r="G9" s="27" t="str">
        <x:v>HABILITADO</x:v>
      </x:c>
      <x:c r="H9" s="33" t="n">
        <x:v>161</x:v>
      </x:c>
      <x:c r="I9" s="27" t="str">
        <x:v>2</x:v>
      </x:c>
      <x:c r="J9" s="27" t="str">
        <x:v>1</x:v>
      </x:c>
      <x:c r="K9" s="27" t="str">
        <x:v>1</x:v>
      </x:c>
      <x:c r="L9" s="27" t="str">
        <x:v>hhm0ac8g280.sn.mynetname.net:3199</x:v>
      </x:c>
      <x:c r="M9" s="27" t="str">
        <x:v>CONECTA / ether1 / DHCP (DMZ) (ativo)
VERO / ether2 / +IP (ativo)</x:v>
      </x:c>
      <x:c r="N9" s="27" t="str">
        <x:v>NÃO INFORMADO</x:v>
      </x:c>
    </x:row>
    <x:row r="10" ht="42" customHeight="1">
      <x:c r="A10" s="26" t="str">
        <x:v>10.89.7.1</x:v>
      </x:c>
      <x:c r="B10" s="27" t="str">
        <x:v>Mikrotik - MONTES CLAROS - Torre</x:v>
      </x:c>
      <x:c r="C10" s="27" t="str">
        <x:v>Mikrotik</x:v>
      </x:c>
      <x:c r="D10" s="27" t="str">
        <x:v>Mikrotik, Montes Claros, Torre</x:v>
      </x:c>
      <x:c r="E10" s="27" t="str">
        <x:v>10.89.7.1 / DNS=NÃO INFORMADO / porta=161 / tipo=2 / principal=1 / disponibilidade=1</x:v>
      </x:c>
      <x:c r="F10" s="27" t="str">
        <x:v>Montes Claros</x:v>
      </x:c>
      <x:c r="G10" s="27" t="str">
        <x:v>HABILITADO</x:v>
      </x:c>
      <x:c r="H10" s="33" t="n">
        <x:v>161</x:v>
      </x:c>
      <x:c r="I10" s="27" t="str">
        <x:v>2</x:v>
      </x:c>
      <x:c r="J10" s="27" t="str">
        <x:v>1</x:v>
      </x:c>
      <x:c r="K10" s="27" t="str">
        <x:v>1</x:v>
      </x:c>
      <x:c r="L10" s="27" t="str">
        <x:v>783d076df4ef.sn.mynetname.net:3199</x:v>
      </x:c>
      <x:c r="M10" s="27" t="str">
        <x:v>PROVEMINAS / sfp1 / +IP</x:v>
      </x:c>
      <x:c r="N10" s="27" t="str">
        <x:v>NÃO INFORMADO</x:v>
      </x:c>
    </x:row>
    <x:row r="11" ht="42" customHeight="1">
      <x:c r="A11" s="26" t="str">
        <x:v>10.89.8.1</x:v>
      </x:c>
      <x:c r="B11" s="27" t="str">
        <x:v>Mikrotik - UBÁ - Torre</x:v>
      </x:c>
      <x:c r="C11" s="27" t="str">
        <x:v>Mikrotik</x:v>
      </x:c>
      <x:c r="D11" s="27" t="str">
        <x:v>Mikrotik, UBÁ, Torre</x:v>
      </x:c>
      <x:c r="E11" s="27" t="str">
        <x:v>10.89.8.1 / DNS=NÃO INFORMADO / porta=161 / tipo=2 / principal=1 / disponibilidade=1</x:v>
      </x:c>
      <x:c r="F11" s="27" t="str">
        <x:v>UBÁ</x:v>
      </x:c>
      <x:c r="G11" s="27" t="str">
        <x:v>HABILITADO</x:v>
      </x:c>
      <x:c r="H11" s="33" t="n">
        <x:v>161</x:v>
      </x:c>
      <x:c r="I11" s="27" t="str">
        <x:v>2</x:v>
      </x:c>
      <x:c r="J11" s="27" t="str">
        <x:v>1</x:v>
      </x:c>
      <x:c r="K11" s="27" t="str">
        <x:v>1</x:v>
      </x:c>
      <x:c r="L11" s="27" t="str">
        <x:v>hfj0952nsqs.sn.mynetname.net:3199
hgr0aftr7z6.sn.mynetname.net:32008</x:v>
      </x:c>
      <x:c r="M11" s="27" t="str">
        <x:v>UBA CONECT / ether1 / DHCP
NÃO INFORMADO / NÃO INFORMADO / NÃO INFORMADO (via BH)</x:v>
      </x:c>
      <x:c r="N11" s="27" t="str">
        <x:v>Via BH</x:v>
      </x:c>
    </x:row>
    <x:row r="12" ht="42" customHeight="1">
      <x:c r="A12" s="26" t="str">
        <x:v>10.89.10.1</x:v>
      </x:c>
      <x:c r="B12" s="27" t="str">
        <x:v>Mikrotik - PATOS DE MINAS - Torre</x:v>
      </x:c>
      <x:c r="C12" s="27" t="str">
        <x:v>Mikrotik</x:v>
      </x:c>
      <x:c r="D12" s="27" t="str">
        <x:v>Mikrotik, Patos de Minas, Torre</x:v>
      </x:c>
      <x:c r="E12" s="27" t="str">
        <x:v>10.89.10.1 / DNS=NÃO INFORMADO / porta=161 / tipo=2 / principal=1 / disponibilidade=1</x:v>
      </x:c>
      <x:c r="F12" s="27" t="str">
        <x:v>Patos de Minas</x:v>
      </x:c>
      <x:c r="G12" s="27" t="str">
        <x:v>HABILITADO</x:v>
      </x:c>
      <x:c r="H12" s="33" t="n">
        <x:v>161</x:v>
      </x:c>
      <x:c r="I12" s="27" t="str">
        <x:v>2</x:v>
      </x:c>
      <x:c r="J12" s="27" t="str">
        <x:v>1</x:v>
      </x:c>
      <x:c r="K12" s="27" t="str">
        <x:v>1</x:v>
      </x:c>
      <x:c r="L12" s="27" t="str">
        <x:v>hfj09fz7c5v.sn.mynetname.net:3199</x:v>
      </x:c>
      <x:c r="M12" s="27" t="str">
        <x:v>CLARO / ether1 / +IP
PLAYNET / ether2 / +IP</x:v>
      </x:c>
      <x:c r="N12" s="27" t="str">
        <x:v>NÃO INFORMADO</x:v>
      </x:c>
    </x:row>
    <x:row r="13" ht="42" customHeight="1">
      <x:c r="A13" s="26" t="str">
        <x:v>10.89.11.1</x:v>
      </x:c>
      <x:c r="B13" s="27" t="str">
        <x:v>Mikrotik - ARAXÁ - Torre</x:v>
      </x:c>
      <x:c r="C13" s="27" t="str">
        <x:v>Mikrotik</x:v>
      </x:c>
      <x:c r="D13" s="27" t="str">
        <x:v>Mikrotik, ARAXÁ, Torre</x:v>
      </x:c>
      <x:c r="E13" s="27" t="str">
        <x:v>10.89.11.1 / DNS=NÃO INFORMADO / porta=161 / tipo=2 / principal=1 / disponibilidade=1</x:v>
      </x:c>
      <x:c r="F13" s="27" t="str">
        <x:v>ARAXÁ</x:v>
      </x:c>
      <x:c r="G13" s="27" t="str">
        <x:v>HABILITADO</x:v>
      </x:c>
      <x:c r="H13" s="33" t="n">
        <x:v>161</x:v>
      </x:c>
      <x:c r="I13" s="27" t="str">
        <x:v>2</x:v>
      </x:c>
      <x:c r="J13" s="27" t="str">
        <x:v>1</x:v>
      </x:c>
      <x:c r="K13" s="27" t="str">
        <x:v>1</x:v>
      </x:c>
      <x:c r="L13" s="27" t="str">
        <x:v>hfj098d05d8.sn.mynetname.net:3199</x:v>
      </x:c>
      <x:c r="M13" s="27" t="str">
        <x:v>CLARO / ether1 / +IP (esta fora)
ALGAR / ether2 / DHCP (atual)</x:v>
      </x:c>
      <x:c r="N13" s="27" t="str">
        <x:v>NÃO INFORMADO</x:v>
      </x:c>
    </x:row>
    <x:row r="14" ht="42" customHeight="1">
      <x:c r="A14" s="26" t="str">
        <x:v>10.89.12.1</x:v>
      </x:c>
      <x:c r="B14" s="27" t="str">
        <x:v>Mikrotik - LEOPOLDINA - Torre</x:v>
      </x:c>
      <x:c r="C14" s="27" t="str">
        <x:v>Mikrotik</x:v>
      </x:c>
      <x:c r="D14" s="27" t="str">
        <x:v>Mikrotik, Leopoldina, Torre</x:v>
      </x:c>
      <x:c r="E14" s="27" t="str">
        <x:v>10.89.12.1 / DNS=NÃO INFORMADO / porta=161 / tipo=2 / principal=1 / disponibilidade=1</x:v>
      </x:c>
      <x:c r="F14" s="27" t="str">
        <x:v>Leopoldina</x:v>
      </x:c>
      <x:c r="G14" s="27" t="str">
        <x:v>HABILITADO</x:v>
      </x:c>
      <x:c r="H14" s="33" t="n">
        <x:v>161</x:v>
      </x:c>
      <x:c r="I14" s="27" t="str">
        <x:v>2</x:v>
      </x:c>
      <x:c r="J14" s="27" t="str">
        <x:v>1</x:v>
      </x:c>
      <x:c r="K14" s="27" t="str">
        <x:v>1</x:v>
      </x:c>
      <x:c r="L14" s="27" t="str">
        <x:v>hhm0acp6amw.sn.mynetname.net:3199</x:v>
      </x:c>
      <x:c r="M14" s="27" t="str">
        <x:v>TEL LEOPOLD / ether2 / +IP</x:v>
      </x:c>
      <x:c r="N14" s="27" t="str">
        <x:v>NÃO INFORMADO</x:v>
      </x:c>
    </x:row>
    <x:row r="15" ht="42" customHeight="1">
      <x:c r="A15" s="26" t="str">
        <x:v>10.89.15.1</x:v>
      </x:c>
      <x:c r="B15" s="27" t="str">
        <x:v>Mikrotik - JOÃO PINHEIR - Torre</x:v>
      </x:c>
      <x:c r="C15" s="27" t="str">
        <x:v>Mikrotik</x:v>
      </x:c>
      <x:c r="D15" s="27" t="str">
        <x:v>Mikrotik, João Pinheiro, Torre</x:v>
      </x:c>
      <x:c r="E15" s="27" t="str">
        <x:v>10.89.15.1 / DNS=NÃO INFORMADO / porta=161 / tipo=2 / principal=1 / disponibilidade=1</x:v>
      </x:c>
      <x:c r="F15" s="27" t="str">
        <x:v>João Pinheiro</x:v>
      </x:c>
      <x:c r="G15" s="27" t="str">
        <x:v>HABILITADO</x:v>
      </x:c>
      <x:c r="H15" s="33" t="n">
        <x:v>161</x:v>
      </x:c>
      <x:c r="I15" s="27" t="str">
        <x:v>2</x:v>
      </x:c>
      <x:c r="J15" s="27" t="str">
        <x:v>1</x:v>
      </x:c>
      <x:c r="K15" s="27" t="str">
        <x:v>1</x:v>
      </x:c>
      <x:c r="L15" s="27" t="str">
        <x:v>hfj099dfpnd.sn.mynetname.net:3199</x:v>
      </x:c>
      <x:c r="M15" s="27" t="str">
        <x:v>NOROESTE / ether1 / +IP</x:v>
      </x:c>
      <x:c r="N15" s="27" t="str">
        <x:v>NÃO INFORMADO</x:v>
      </x:c>
    </x:row>
    <x:row r="16" ht="42" customHeight="1">
      <x:c r="A16" s="26" t="str">
        <x:v>10.89.16.1</x:v>
      </x:c>
      <x:c r="B16" s="27" t="str">
        <x:v>Mikrotik - NEPOMUCENO - Torre</x:v>
      </x:c>
      <x:c r="C16" s="27" t="str">
        <x:v>Mikrotik</x:v>
      </x:c>
      <x:c r="D16" s="27" t="str">
        <x:v>Mikrotik, Mikrotik Torre, Torre</x:v>
      </x:c>
      <x:c r="E16" s="27" t="str">
        <x:v>10.89.16.1 / DNS=NÃO INFORMADO / porta=161 / tipo=2 / principal=1 / disponibilidade=1</x:v>
      </x:c>
      <x:c r="F16" s="27" t="str">
        <x:v>Mikrotik Torre</x:v>
      </x:c>
      <x:c r="G16" s="27" t="str">
        <x:v>HABILITADO</x:v>
      </x:c>
      <x:c r="H16" s="33" t="n">
        <x:v>161</x:v>
      </x:c>
      <x:c r="I16" s="27" t="str">
        <x:v>2</x:v>
      </x:c>
      <x:c r="J16" s="27" t="str">
        <x:v>1</x:v>
      </x:c>
      <x:c r="K16" s="27" t="str">
        <x:v>1</x:v>
      </x:c>
      <x:c r="L16" s="27" t="str">
        <x:v>hfj09fgwty2.sn.mynetname.net:3199</x:v>
      </x:c>
      <x:c r="M16" s="27" t="str">
        <x:v>AGYONET / ether1 / +IP</x:v>
      </x:c>
      <x:c r="N16" s="27" t="str">
        <x:v>NÃO INFORMADO</x:v>
      </x:c>
    </x:row>
    <x:row r="17" ht="42" customHeight="1">
      <x:c r="A17" s="26" t="str">
        <x:v>10.89.19.1</x:v>
      </x:c>
      <x:c r="B17" s="27" t="str">
        <x:v>Mikrotk - DIAMANTINA - Torre</x:v>
      </x:c>
      <x:c r="C17" s="27" t="str">
        <x:v>Diamantina</x:v>
      </x:c>
      <x:c r="D17" s="27" t="str">
        <x:v>Diamantina</x:v>
      </x:c>
      <x:c r="E17" s="27" t="str">
        <x:v>10.89.19.1 / DNS=NÃO INFORMADO / porta=161 / tipo=2 / principal=1 / disponibilidade=1</x:v>
      </x:c>
      <x:c r="F17" s="27" t="str">
        <x:v>Diamantina</x:v>
      </x:c>
      <x:c r="G17" s="27" t="str">
        <x:v>HABILITADO</x:v>
      </x:c>
      <x:c r="H17" s="33" t="n">
        <x:v>161</x:v>
      </x:c>
      <x:c r="I17" s="27" t="str">
        <x:v>2</x:v>
      </x:c>
      <x:c r="J17" s="27" t="str">
        <x:v>1</x:v>
      </x:c>
      <x:c r="K17" s="27" t="str">
        <x:v>1</x:v>
      </x:c>
      <x:c r="L17" s="27" t="str">
        <x:v>hfj090qqw9g.sn.mynetname.net:3199</x:v>
      </x:c>
      <x:c r="M17" s="27" t="str">
        <x:v>NORTH TELECOM / ether1 / +IP (ativo)</x:v>
      </x:c>
      <x:c r="N17" s="27" t="str">
        <x:v>NÃO INFORMADO</x:v>
      </x:c>
    </x:row>
    <x:row r="18" ht="42" customHeight="1">
      <x:c r="A18" s="26" t="str">
        <x:v>10.89.20.1</x:v>
      </x:c>
      <x:c r="B18" s="27" t="str">
        <x:v>Mikrotik - VARGINHA - Torre</x:v>
      </x:c>
      <x:c r="C18" s="27" t="str">
        <x:v>Mikrotik</x:v>
      </x:c>
      <x:c r="D18" s="27" t="str">
        <x:v>Mikrotik, Varginha, Torre</x:v>
      </x:c>
      <x:c r="E18" s="27" t="str">
        <x:v>10.89.20.1 / DNS=NÃO INFORMADO / porta=161 / tipo=2 / principal=1 / disponibilidade=1</x:v>
      </x:c>
      <x:c r="F18" s="27" t="str">
        <x:v>Varginha</x:v>
      </x:c>
      <x:c r="G18" s="27" t="str">
        <x:v>HABILITADO</x:v>
      </x:c>
      <x:c r="H18" s="33" t="n">
        <x:v>161</x:v>
      </x:c>
      <x:c r="I18" s="27" t="str">
        <x:v>2</x:v>
      </x:c>
      <x:c r="J18" s="27" t="str">
        <x:v>1</x:v>
      </x:c>
      <x:c r="K18" s="27" t="str">
        <x:v>1</x:v>
      </x:c>
      <x:c r="L18" s="27" t="str">
        <x:v>het095bwt04.sn.mynetname.net:32020</x:v>
      </x:c>
      <x:c r="M18" s="27" t="str">
        <x:v>STARLINK / ether2 / DHCP</x:v>
      </x:c>
      <x:c r="N18" s="27" t="str">
        <x:v>Via BH</x:v>
      </x:c>
    </x:row>
    <x:row r="19" ht="42" customHeight="1">
      <x:c r="A19" s="26" t="str">
        <x:v>10.89.21.1</x:v>
      </x:c>
      <x:c r="B19" s="27" t="str">
        <x:v>Mikrotik - MACHADO - Torre</x:v>
      </x:c>
      <x:c r="C19" s="27" t="str">
        <x:v>Mikrotik</x:v>
      </x:c>
      <x:c r="D19" s="27" t="str">
        <x:v>Mikrotik, Machado, Torre</x:v>
      </x:c>
      <x:c r="E19" s="27" t="str">
        <x:v>10.89.21.1 / DNS=NÃO INFORMADO / porta=161 / tipo=2 / principal=1 / disponibilidade=1</x:v>
      </x:c>
      <x:c r="F19" s="27" t="str">
        <x:v>Machado</x:v>
      </x:c>
      <x:c r="G19" s="27" t="str">
        <x:v>HABILITADO</x:v>
      </x:c>
      <x:c r="H19" s="33" t="n">
        <x:v>161</x:v>
      </x:c>
      <x:c r="I19" s="27" t="str">
        <x:v>2</x:v>
      </x:c>
      <x:c r="J19" s="27" t="str">
        <x:v>1</x:v>
      </x:c>
      <x:c r="K19" s="27" t="str">
        <x:v>1</x:v>
      </x:c>
      <x:c r="L19" s="27" t="str">
        <x:v>hhm0aep1j5g.sn.mynetname.net:3199</x:v>
      </x:c>
      <x:c r="M19" s="27" t="str">
        <x:v>AXTEL / ether1 / +IP
AXNET / ether2 / +IP</x:v>
      </x:c>
      <x:c r="N19" s="27" t="str">
        <x:v>NÃO INFORMADO</x:v>
      </x:c>
    </x:row>
    <x:row r="20" ht="42" customHeight="1">
      <x:c r="A20" s="26" t="str">
        <x:v>10.89.22.1</x:v>
      </x:c>
      <x:c r="B20" s="27" t="str">
        <x:v>Mikrotik - CARANGOLA - Torre</x:v>
      </x:c>
      <x:c r="C20" s="27" t="str">
        <x:v>Mikrotik</x:v>
      </x:c>
      <x:c r="D20" s="27" t="str">
        <x:v>Mikrotik, Mikrotik Torre, Torre</x:v>
      </x:c>
      <x:c r="E20" s="27" t="str">
        <x:v>10.89.22.1 / DNS=NÃO INFORMADO / porta=161 / tipo=2 / principal=1 / disponibilidade=1</x:v>
      </x:c>
      <x:c r="F20" s="27" t="str">
        <x:v>Mikrotik Torre</x:v>
      </x:c>
      <x:c r="G20" s="27" t="str">
        <x:v>HABILITADO</x:v>
      </x:c>
      <x:c r="H20" s="33" t="n">
        <x:v>161</x:v>
      </x:c>
      <x:c r="I20" s="27" t="str">
        <x:v>2</x:v>
      </x:c>
      <x:c r="J20" s="27" t="str">
        <x:v>1</x:v>
      </x:c>
      <x:c r="K20" s="27" t="str">
        <x:v>1</x:v>
      </x:c>
      <x:c r="L20" s="27" t="str">
        <x:v>hfj092sb6yd.sn.mynetname.net:3199</x:v>
      </x:c>
      <x:c r="M20" s="27" t="str">
        <x:v>CHECKUP / ether1 / +IP</x:v>
      </x:c>
      <x:c r="N20" s="27" t="str">
        <x:v>NÃO INFORMADO</x:v>
      </x:c>
    </x:row>
    <x:row r="21" ht="42" customHeight="1">
      <x:c r="A21" s="26" t="str">
        <x:v>10.89.23.1</x:v>
      </x:c>
      <x:c r="B21" s="27" t="str">
        <x:v>Mikrotik - ALTO DO RIO DOCE - Torre</x:v>
      </x:c>
      <x:c r="C21" s="27" t="str">
        <x:v>Mikrotik</x:v>
      </x:c>
      <x:c r="D21" s="27" t="str">
        <x:v>Mikrotik, Alto Rio Doce, Torre</x:v>
      </x:c>
      <x:c r="E21" s="27" t="str">
        <x:v>10.89.23.1 / DNS=NÃO INFORMADO / porta=161 / tipo=2 / principal=1 / disponibilidade=1</x:v>
      </x:c>
      <x:c r="F21" s="27" t="str">
        <x:v>Alto Rio Doce</x:v>
      </x:c>
      <x:c r="G21" s="27" t="str">
        <x:v>HABILITADO</x:v>
      </x:c>
      <x:c r="H21" s="33" t="n">
        <x:v>161</x:v>
      </x:c>
      <x:c r="I21" s="27" t="str">
        <x:v>2</x:v>
      </x:c>
      <x:c r="J21" s="27" t="str">
        <x:v>1</x:v>
      </x:c>
      <x:c r="K21" s="27" t="str">
        <x:v>1</x:v>
      </x:c>
      <x:c r="L21" s="27" t="str">
        <x:v>hfj092jwfyr.sn.mynetname.net:3199</x:v>
      </x:c>
      <x:c r="M21" s="27" t="str">
        <x:v>GO / ether1 / +IP
FOX / ether2 / +IP</x:v>
      </x:c>
      <x:c r="N21" s="27" t="str">
        <x:v>NÃO INFORMADO</x:v>
      </x:c>
    </x:row>
    <x:row r="22" ht="42" customHeight="1">
      <x:c r="A22" s="26" t="str">
        <x:v>10.89.26.1</x:v>
      </x:c>
      <x:c r="B22" s="27" t="str">
        <x:v>Mikrotik - Cambuí - Torre</x:v>
      </x:c>
      <x:c r="C22" s="27" t="str">
        <x:v>Mikrotik</x:v>
      </x:c>
      <x:c r="D22" s="27" t="str">
        <x:v>Mikrotik, Mikrotik Torre, Torre</x:v>
      </x:c>
      <x:c r="E22" s="27" t="str">
        <x:v>10.89.26.1 / DNS=NÃO INFORMADO / porta=161 / tipo=2 / principal=1 / disponibilidade=1</x:v>
      </x:c>
      <x:c r="F22" s="27" t="str">
        <x:v>Mikrotik Torre</x:v>
      </x:c>
      <x:c r="G22" s="27" t="str">
        <x:v>HABILITADO</x:v>
      </x:c>
      <x:c r="H22" s="33" t="n">
        <x:v>161</x:v>
      </x:c>
      <x:c r="I22" s="27" t="str">
        <x:v>2</x:v>
      </x:c>
      <x:c r="J22" s="27" t="str">
        <x:v>1</x:v>
      </x:c>
      <x:c r="K22" s="27" t="str">
        <x:v>1</x:v>
      </x:c>
      <x:c r="L22" s="27" t="str">
        <x:v>hjt0ay79kk3.sn.mynetname.net:3199</x:v>
      </x:c>
      <x:c r="M22" s="27" t="str">
        <x:v>MICROPIC / ether1 / +IP (ativo)</x:v>
      </x:c>
      <x:c r="N22" s="27" t="str">
        <x:v>NÃO INFORMADO</x:v>
      </x:c>
    </x:row>
    <x:row r="23" ht="42" customHeight="1">
      <x:c r="A23" s="26" t="str">
        <x:v>10.89.29.1</x:v>
      </x:c>
      <x:c r="B23" s="27" t="str">
        <x:v>Mikrotik - PRESIDENTE OLEGÁRIO - Torre</x:v>
      </x:c>
      <x:c r="C23" s="27" t="str">
        <x:v>Mikrotik</x:v>
      </x:c>
      <x:c r="D23" s="27" t="str">
        <x:v>Mikrotik, Mikrotik Torre, Torre</x:v>
      </x:c>
      <x:c r="E23" s="27" t="str">
        <x:v>10.89.29.1 / DNS=NÃO INFORMADO / porta=161 / tipo=2 / principal=1 / disponibilidade=1</x:v>
      </x:c>
      <x:c r="F23" s="27" t="str">
        <x:v>Mikrotik Torre</x:v>
      </x:c>
      <x:c r="G23" s="27" t="str">
        <x:v>HABILITADO</x:v>
      </x:c>
      <x:c r="H23" s="33" t="n">
        <x:v>161</x:v>
      </x:c>
      <x:c r="I23" s="27" t="str">
        <x:v>2</x:v>
      </x:c>
      <x:c r="J23" s="27" t="str">
        <x:v>1</x:v>
      </x:c>
      <x:c r="K23" s="27" t="str">
        <x:v>1</x:v>
      </x:c>
      <x:c r="L23" s="27" t="str">
        <x:v>NÃO INFORMADO</x:v>
      </x:c>
      <x:c r="M23" s="27" t="str">
        <x:v>NÃO INFORMADO</x:v>
      </x:c>
      <x:c r="N23" s="27" t="str">
        <x:v>NÃO INFORMADO</x:v>
      </x:c>
    </x:row>
  </x:sheetData>
  <x:mergeCells>
    <x:mergeCell ref="A1:N1"/>
    <x:mergeCell ref="A2:N2"/>
    <x:mergeCell ref="A4:N4"/>
  </x:mergeCells>
  <x:conditionalFormatting sqref="G6:G23">
    <x:cfRule type="containsText" dxfId="4" priority="1" operator="containsText" text="HABILITADO"/>
    <x:cfRule type="containsText" dxfId="5" priority="2" operator="containsText" text="DESABILITADO"/>
    <x:cfRule type="containsText" dxfId="6" priority="3" operator="containsText" text="NÃO INFORMADO"/>
  </x:conditionalFormatting>
  <x:conditionalFormatting sqref="L6:L23">
    <x:cfRule type="containsText" dxfId="7" priority="4" operator="containsText" text="NÃO INFORMADO"/>
  </x:conditionalFormatting>
  <x:pageMargins left="0.7" right="0.7" top="0.75" bottom="0.75" header="0.3" footer="0.3"/>
  <x:tableParts count="1">
    <x:tablePart xmlns:r="http://schemas.openxmlformats.org/officeDocument/2006/relationships" r:id="R110b51979dbe4d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7" t="str">
        <x:v>Resumo executivo | MikroTiks de torres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</x:row>
    <x:row r="2">
      <x:c r="A2" s="88" t="str">
        <x:v>Fonte: INVENTARIO_ZABBIX.md | Zabbix 7.4.14 | Dados somente leitura | Links cloud detalhados na aba Links Cloud</x:v>
      </x:c>
      <x:c r="B2" s="88" t="str">
        <x:v>Fonte: INVENTARIO_ZABBIX.md | Zabbix 7.4.14 | Dados somente leitura | Links cloud detalhados na aba Links Cloud</x:v>
      </x:c>
      <x:c r="C2" s="88" t="str">
        <x:v>Fonte: INVENTARIO_ZABBIX.md | Zabbix 7.4.14 | Dados somente leitura | Links cloud detalhados na aba Links Cloud</x:v>
      </x:c>
      <x:c r="D2" s="88" t="str">
        <x:v>Fonte: INVENTARIO_ZABBIX.md | Zabbix 7.4.14 | Dados somente leitura | Links cloud detalhados na aba Links Cloud</x:v>
      </x:c>
      <x:c r="E2" s="88" t="str">
        <x:v>Fonte: INVENTARIO_ZABBIX.md | Zabbix 7.4.14 | Dados somente leitura | Links cloud detalhados na aba Links Cloud</x:v>
      </x:c>
      <x:c r="F2" s="88" t="str">
        <x:v>Fonte: INVENTARIO_ZABBIX.md | Zabbix 7.4.14 | Dados somente leitura | Links cloud detalhados na aba Links Cloud</x:v>
      </x:c>
      <x:c r="G2" s="88" t="str">
        <x:v>Fonte: INVENTARIO_ZABBIX.md | Zabbix 7.4.14 | Dados somente leitura | Links cloud detalhados na aba Links Cloud</x:v>
      </x:c>
      <x:c r="H2" s="88" t="str">
        <x:v>Fonte: INVENTARIO_ZABBIX.md | Zabbix 7.4.14 | Dados somente leitura | Links cloud detalhados na aba Links Cloud</x:v>
      </x:c>
      <x:c r="I2" s="88" t="str">
        <x:v>Fonte: INVENTARIO_ZABBIX.md | Zabbix 7.4.14 | Dados somente leitura | Links cloud detalhados na aba Links Cloud</x:v>
      </x:c>
      <x:c r="J2" s="88" t="str">
        <x:v>Fonte: INVENTARIO_ZABBIX.md | Zabbix 7.4.14 | Dados somente leitura | Links cloud detalhados na aba Links Cloud</x:v>
      </x:c>
      <x:c r="K2" s="88" t="str">
        <x:v>Fonte: INVENTARIO_ZABBIX.md | Zabbix 7.4.14 | Dados somente leitura | Links cloud detalhados na aba Links Cloud</x:v>
      </x:c>
      <x:c r="L2" s="88" t="str">
        <x:v>Fonte: INVENTARIO_ZABBIX.md | Zabbix 7.4.14 | Dados somente leitura | Links cloud detalhados na aba Links Cloud</x:v>
      </x:c>
      <x:c r="M2" s="88" t="str">
        <x:v>Fonte: INVENTARIO_ZABBIX.md | Zabbix 7.4.14 | Dados somente leitura | Links cloud detalhados na aba Links Cloud</x:v>
      </x:c>
      <x:c r="N2" s="88" t="str">
        <x:v>Fonte: INVENTARIO_ZABBIX.md | Zabbix 7.4.14 | Dados somente leitura | Links cloud detalhados na aba Links Cloud</x:v>
      </x:c>
    </x:row>
    <x:row r="4">
      <x:c r="A4" s="43" t="str">
        <x:v>MikroTiks de torre encontrados</x:v>
      </x:c>
      <x:c r="B4" s="43"/>
      <x:c r="C4" s="43" t="str">
        <x:v>Habilitados</x:v>
      </x:c>
      <x:c r="D4" s="43"/>
      <x:c r="E4" s="43" t="str">
        <x:v>Gateways .1 encontrados</x:v>
      </x:c>
      <x:c r="F4" s="43"/>
      <x:c r="G4" s="43" t="str">
        <x:v>Gateways .1 ausentes</x:v>
      </x:c>
      <x:c r="H4" s="43"/>
      <x:c r="I4" s="43" t="str">
        <x:v>Total gateways esperado</x:v>
      </x:c>
      <x:c r="J4" s="43"/>
      <x:c r="K4" s="43" t="str">
        <x:v>Cobertura</x:v>
      </x:c>
      <x:c r="L4" s="43"/>
      <x:c r="M4" s="43" t="str">
        <x:v>Versão Zabbix</x:v>
      </x:c>
      <x:c r="N4" s="43"/>
    </x:row>
    <x:row r="5" ht="27" customHeight="1">
      <x:c r="A5" s="46" t="n">
        <x:f>COUNTA('MikroTiks Torres'!$A$6:$A$23)</x:f>
        <x:v>18</x:v>
      </x:c>
      <x:c r="B5" s="47"/>
      <x:c r="C5" s="46" t="n">
        <x:f>COUNTIF('MikroTiks Torres'!$G$6:$G$23,"HABILITADO")</x:f>
        <x:v>18</x:v>
      </x:c>
      <x:c r="D5" s="47"/>
      <x:c r="E5" s="46" t="n">
        <x:f>COUNTA('MikroTiks Torres'!$A$6:$A$23)</x:f>
        <x:v>18</x:v>
      </x:c>
      <x:c r="F5" s="47"/>
      <x:c r="G5" s="46" t="n">
        <x:f>COUNTA('Gateways Ausentes'!$A$5:$A$16)</x:f>
        <x:v>12</x:v>
      </x:c>
      <x:c r="H5" s="47"/>
      <x:c r="I5" s="46" t="n">
        <x:f>E5+G5</x:f>
        <x:v>30</x:v>
      </x:c>
      <x:c r="J5" s="47"/>
      <x:c r="K5" s="48" t="n">
        <x:f>IF(I5=0,0,E5/I5)</x:f>
        <x:v>0.6</x:v>
      </x:c>
      <x:c r="L5" s="49"/>
      <x:c r="M5" s="46" t="str">
        <x:v>7.4.14</x:v>
      </x:c>
      <x:c r="N5" s="47"/>
    </x:row>
    <x:row r="8">
      <x:c r="A8" s="52" t="str">
        <x:v>Cobertura dos gateways 10.89.x.1</x:v>
      </x:c>
      <x:c r="B8" s="52"/>
      <x:c r="C8" s="52"/>
      <x:c r="D8" s="52"/>
      <x:c r="E8" s="52"/>
      <x:c r="F8" s="52"/>
    </x:row>
    <x:row r="9" ht="30" customHeight="1">
      <x:c r="A9" s="13" t="str">
        <x:v>Situação</x:v>
      </x:c>
      <x:c r="B9" s="13" t="str">
        <x:v>Quantidade</x:v>
      </x:c>
    </x:row>
    <x:row r="10">
      <x:c r="A10" s="23" t="str">
        <x:v>Encontrados</x:v>
      </x:c>
      <x:c r="B10" s="53" t="n">
        <x:f>E5</x:f>
        <x:v>18</x:v>
      </x:c>
    </x:row>
    <x:row r="11">
      <x:c r="A11" s="29" t="str">
        <x:v>Ausentes</x:v>
      </x:c>
      <x:c r="B11" s="54" t="n">
        <x:f>G5</x:f>
        <x:v>12</x:v>
      </x:c>
    </x:row>
    <x:row r="13">
      <x:c r="A13" s="57" t="str">
        <x:v>Total esperado</x:v>
      </x:c>
      <x:c r="B13" s="58" t="n">
        <x:f>I5</x:f>
        <x:v>30</x:v>
      </x:c>
    </x:row>
    <x:row r="15">
      <x:c r="A15" s="52" t="str">
        <x:v>Metadados do relatório</x:v>
      </x:c>
      <x:c r="B15" s="52"/>
      <x:c r="C15" s="52"/>
      <x:c r="D15" s="52"/>
    </x:row>
    <x:row r="16">
      <x:c r="A16" s="62" t="str">
        <x:v>Fonte</x:v>
      </x:c>
      <x:c r="B16" s="25" t="str">
        <x:v>INVENTARIO_ZABBIX.md</x:v>
      </x:c>
    </x:row>
    <x:row r="17">
      <x:c r="A17" s="63" t="str">
        <x:v>Data da execução</x:v>
      </x:c>
      <x:c r="B17" s="28" t="str">
        <x:v>2026-08-27 16:35:02 -0300</x:v>
      </x:c>
    </x:row>
    <x:row r="18">
      <x:c r="A18" s="63" t="str">
        <x:v>Versão Zabbix</x:v>
      </x:c>
      <x:c r="B18" s="28" t="str">
        <x:v>7.4.14</x:v>
      </x:c>
    </x:row>
    <x:row r="19">
      <x:c r="A19" s="63" t="str">
        <x:v>Total de hosts</x:v>
      </x:c>
      <x:c r="B19" s="65" t="n">
        <x:v>246</x:v>
      </x:c>
    </x:row>
    <x:row r="20">
      <x:c r="A20" s="63" t="str">
        <x:v>Hosts habilitados</x:v>
      </x:c>
      <x:c r="B20" s="65" t="n">
        <x:v>246</x:v>
      </x:c>
    </x:row>
    <x:row r="21">
      <x:c r="A21" s="63" t="str">
        <x:v>IPs encontrados</x:v>
      </x:c>
      <x:c r="B21" s="65" t="n">
        <x:v>235</x:v>
      </x:c>
    </x:row>
    <x:row r="22">
      <x:c r="A22" s="64" t="str">
        <x:v>Hosts com problemas ativos</x:v>
      </x:c>
      <x:c r="B22" s="54" t="n">
        <x:v>57</x:v>
      </x:c>
    </x:row>
    <x:row r="25">
      <x:c r="A25" s="52" t="str">
        <x:v>Notas de leitura</x:v>
      </x:c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</x:row>
    <x:row r="26" ht="24" customHeight="1">
      <x:c r="A26" s="68" t="str">
        <x:v>• A aba MikroTiks Torres contém os gateways 10.89.x.1 encontrados no arquivo de origem.</x:v>
      </x:c>
      <x:c r="B26" s="68"/>
      <x:c r="C26" s="68"/>
      <x:c r="D26" s="68"/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</x:row>
    <x:row r="27" ht="24" customHeight="1">
      <x:c r="A27" s="68" t="str">
        <x:v>• A aba Gateways Ausentes lista os endereços 10.89.1.1–10.89.30.1 sem correspondência no Zabbix.</x:v>
      </x:c>
      <x:c r="B27" s="68"/>
      <x:c r="C27" s="68"/>
      <x:c r="D27" s="68"/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</x:row>
    <x:row r="28" ht="24" customHeight="1">
      <x:c r="A28" s="68" t="str">
        <x:v>• Os valores dos campos foram preservados conforme o INVENTARIO_ZABBIX.md; onde faltou informação, foi usado NÃO INFORMADO.</x:v>
      </x:c>
      <x:c r="B28" s="68"/>
      <x:c r="C28" s="68"/>
      <x:c r="D28" s="68"/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</x:row>
    <x:row r="30">
      <x:c r="A30" s="91" t="str">
        <x:v>Links cloud cadastrados</x:v>
      </x:c>
      <x:c r="B30" s="91"/>
      <x:c r="C30" s="91"/>
      <x:c r="D30" s="91"/>
    </x:row>
    <x:row r="31">
      <x:c r="A31" s="97" t="n">
        <x:f>COUNTA('Links Cloud'!$H$5:$H$60)</x:f>
        <x:v>56</x:v>
      </x:c>
      <x:c r="B31" s="98"/>
      <x:c r="C31" s="98"/>
      <x:c r="D31" s="99"/>
    </x:row>
  </x:sheetData>
  <x:mergeCells>
    <x:mergeCell ref="A1:N1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K4:L4"/>
    <x:mergeCell ref="K5:L5"/>
    <x:mergeCell ref="M4:N4"/>
    <x:mergeCell ref="M5:N5"/>
    <x:mergeCell ref="A8:F8"/>
    <x:mergeCell ref="A15:D15"/>
    <x:mergeCell ref="A25:N25"/>
    <x:mergeCell ref="A26:N26"/>
    <x:mergeCell ref="A27:N27"/>
    <x:mergeCell ref="A28:N28"/>
    <x:mergeCell ref="A2:N2"/>
    <x:mergeCell ref="A30:D30"/>
    <x:mergeCell ref="A31:D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8" hidden="0" customWidth="1"/>
  </x:cols>
  <x:sheetData>
    <x:row r="1" ht="28" customHeight="1">
      <x:c r="A1" s="71" t="str">
        <x:v>Gateways Ausentes | 10.89.1.1–10.89.30.1</x:v>
      </x:c>
      <x:c r="B1" s="71"/>
      <x:c r="C1" s="71"/>
    </x:row>
    <x:row r="2">
      <x:c r="A2" s="74" t="str">
        <x:v>Fonte: INVENTARIO_ZABBIX.md | 12 endereços sem correspondência no Zabbix</x:v>
      </x:c>
      <x:c r="B2" s="74"/>
      <x:c r="C2" s="74"/>
    </x:row>
    <x:row r="4" ht="30" customHeight="1">
      <x:c r="A4" s="13" t="str">
        <x:v>IP Gateway</x:v>
      </x:c>
      <x:c r="B4" s="13" t="str">
        <x:v>Status no Zabbix</x:v>
      </x:c>
      <x:c r="C4" s="13" t="str">
        <x:v>Observação</x:v>
      </x:c>
    </x:row>
    <x:row r="5" ht="24" customHeight="1">
      <x:c r="A5" s="23" t="str">
        <x:v>10.89.1.1</x:v>
      </x:c>
      <x:c r="B5" s="24" t="str">
        <x:v>NÃO ENCONTRADO NO ZABBIX</x:v>
      </x:c>
      <x:c r="C5" s="25" t="str">
        <x:v>NÃO INFORMADO</x:v>
      </x:c>
    </x:row>
    <x:row r="6" ht="24" customHeight="1">
      <x:c r="A6" s="26" t="str">
        <x:v>10.89.6.1</x:v>
      </x:c>
      <x:c r="B6" s="27" t="str">
        <x:v>NÃO ENCONTRADO NO ZABBIX</x:v>
      </x:c>
      <x:c r="C6" s="28" t="str">
        <x:v>NÃO INFORMADO</x:v>
      </x:c>
    </x:row>
    <x:row r="7" ht="24" customHeight="1">
      <x:c r="A7" s="26" t="str">
        <x:v>10.89.9.1</x:v>
      </x:c>
      <x:c r="B7" s="27" t="str">
        <x:v>NÃO ENCONTRADO NO ZABBIX</x:v>
      </x:c>
      <x:c r="C7" s="28" t="str">
        <x:v>NÃO INFORMADO</x:v>
      </x:c>
    </x:row>
    <x:row r="8" ht="24" customHeight="1">
      <x:c r="A8" s="26" t="str">
        <x:v>10.89.13.1</x:v>
      </x:c>
      <x:c r="B8" s="27" t="str">
        <x:v>NÃO ENCONTRADO NO ZABBIX</x:v>
      </x:c>
      <x:c r="C8" s="28" t="str">
        <x:v>NÃO INFORMADO</x:v>
      </x:c>
    </x:row>
    <x:row r="9" ht="24" customHeight="1">
      <x:c r="A9" s="26" t="str">
        <x:v>10.89.14.1</x:v>
      </x:c>
      <x:c r="B9" s="27" t="str">
        <x:v>NÃO ENCONTRADO NO ZABBIX</x:v>
      </x:c>
      <x:c r="C9" s="28" t="str">
        <x:v>NÃO INFORMADO</x:v>
      </x:c>
    </x:row>
    <x:row r="10" ht="24" customHeight="1">
      <x:c r="A10" s="26" t="str">
        <x:v>10.89.17.1</x:v>
      </x:c>
      <x:c r="B10" s="27" t="str">
        <x:v>NÃO ENCONTRADO NO ZABBIX</x:v>
      </x:c>
      <x:c r="C10" s="28" t="str">
        <x:v>NÃO INFORMADO</x:v>
      </x:c>
    </x:row>
    <x:row r="11" ht="24" customHeight="1">
      <x:c r="A11" s="26" t="str">
        <x:v>10.89.18.1</x:v>
      </x:c>
      <x:c r="B11" s="27" t="str">
        <x:v>NÃO ENCONTRADO NO ZABBIX</x:v>
      </x:c>
      <x:c r="C11" s="28" t="str">
        <x:v>NÃO INFORMADO</x:v>
      </x:c>
    </x:row>
    <x:row r="12" ht="24" customHeight="1">
      <x:c r="A12" s="26" t="str">
        <x:v>10.89.24.1</x:v>
      </x:c>
      <x:c r="B12" s="27" t="str">
        <x:v>NÃO ENCONTRADO NO ZABBIX</x:v>
      </x:c>
      <x:c r="C12" s="28" t="str">
        <x:v>NÃO INFORMADO</x:v>
      </x:c>
    </x:row>
    <x:row r="13" ht="24" customHeight="1">
      <x:c r="A13" s="26" t="str">
        <x:v>10.89.25.1</x:v>
      </x:c>
      <x:c r="B13" s="27" t="str">
        <x:v>NÃO ENCONTRADO NO ZABBIX</x:v>
      </x:c>
      <x:c r="C13" s="28" t="str">
        <x:v>NÃO INFORMADO</x:v>
      </x:c>
    </x:row>
    <x:row r="14" ht="24" customHeight="1">
      <x:c r="A14" s="26" t="str">
        <x:v>10.89.27.1</x:v>
      </x:c>
      <x:c r="B14" s="27" t="str">
        <x:v>NÃO ENCONTRADO NO ZABBIX</x:v>
      </x:c>
      <x:c r="C14" s="28" t="str">
        <x:v>NÃO INFORMADO</x:v>
      </x:c>
    </x:row>
    <x:row r="15" ht="24" customHeight="1">
      <x:c r="A15" s="26" t="str">
        <x:v>10.89.28.1</x:v>
      </x:c>
      <x:c r="B15" s="27" t="str">
        <x:v>NÃO ENCONTRADO NO ZABBIX</x:v>
      </x:c>
      <x:c r="C15" s="28" t="str">
        <x:v>NÃO INFORMADO</x:v>
      </x:c>
    </x:row>
    <x:row r="16" ht="24" customHeight="1">
      <x:c r="A16" s="29" t="str">
        <x:v>10.89.30.1</x:v>
      </x:c>
      <x:c r="B16" s="30" t="str">
        <x:v>NÃO ENCONTRADO NO ZABBIX</x:v>
      </x:c>
      <x:c r="C16" s="31" t="str">
        <x:v>NÃO INFORMADO</x:v>
      </x:c>
    </x:row>
  </x:sheetData>
  <x:mergeCells>
    <x:mergeCell ref="A1:C1"/>
    <x:mergeCell ref="A2:C2"/>
  </x:mergeCells>
  <x:conditionalFormatting sqref="B5:B16">
    <x:cfRule type="containsText" dxfId="3" priority="1" operator="containsText" text="NÃO ENCONTRADO"/>
  </x:conditionalFormatting>
  <x:pageMargins left="0.7" right="0.7" top="0.75" bottom="0.75" header="0.3" footer="0.3"/>
  <x:tableParts count="1">
    <x:tablePart xmlns:r="http://schemas.openxmlformats.org/officeDocument/2006/relationships" r:id="Reb6b56f9e7a842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24" hidden="0" customWidth="1"/>
    <x:col min="4" max="4" width="24" hidden="0" customWidth="1"/>
    <x:col min="5" max="5" width="16" hidden="0" customWidth="1"/>
    <x:col min="6" max="6" width="32" hidden="0" customWidth="1"/>
    <x:col min="7" max="7" width="26" hidden="0" customWidth="1"/>
    <x:col min="8" max="8" width="38" hidden="0" customWidth="1"/>
    <x:col min="9" max="9" width="12" hidden="0" customWidth="1"/>
    <x:col min="10" max="10" width="14" hidden="0" customWidth="1"/>
  </x:cols>
  <x:sheetData>
    <x:row r="1" ht="28" customHeight="1">
      <x:c r="A1" s="102" t="str">
        <x:v>Links Cloud por cidade e unidade</x:v>
      </x:c>
      <x:c r="B1" s="102"/>
      <x:c r="C1" s="102"/>
      <x:c r="D1" s="102"/>
      <x:c r="E1" s="102"/>
      <x:c r="F1" s="102"/>
      <x:c r="G1" s="102"/>
      <x:c r="H1" s="102"/>
      <x:c r="I1" s="102"/>
      <x:c r="J1" s="102"/>
    </x:row>
    <x:row r="2">
      <x:c r="A2" s="88" t="str">
        <x:v>Dados fornecidos pelo usuário em 2026-08-28 | Endpoint no formato hostname:porta | A unidade foi extraída do título informado (TORRE/ESTÚDIO).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4" ht="30" customHeight="1">
      <x:c r="A4" s="106" t="str">
        <x:v>Cidade</x:v>
      </x:c>
      <x:c r="B4" s="106" t="str">
        <x:v>Unidade</x:v>
      </x:c>
      <x:c r="C4" s="106" t="str">
        <x:v>Site informado</x:v>
      </x:c>
      <x:c r="D4" s="106" t="str">
        <x:v>Operadora / Link</x:v>
      </x:c>
      <x:c r="E4" s="106" t="str">
        <x:v>Interface</x:v>
      </x:c>
      <x:c r="F4" s="106" t="str">
        <x:v>Modo</x:v>
      </x:c>
      <x:c r="G4" s="106" t="str">
        <x:v>Situação / Observação</x:v>
      </x:c>
      <x:c r="H4" s="106" t="str">
        <x:v>Host Cloud</x:v>
      </x:c>
      <x:c r="I4" s="106" t="str">
        <x:v>Porta</x:v>
      </x:c>
      <x:c r="J4" s="106" t="str">
        <x:v>Via</x:v>
      </x:c>
    </x:row>
    <x:row r="5" ht="30" customHeight="1">
      <x:c r="A5" s="23" t="str">
        <x:v>ALTO RIO DOCE</x:v>
      </x:c>
      <x:c r="B5" s="24" t="str">
        <x:v>TORRE</x:v>
      </x:c>
      <x:c r="C5" s="24" t="str">
        <x:v>ALTO RIO DOCE TORRE</x:v>
      </x:c>
      <x:c r="D5" s="24" t="str">
        <x:v>GO</x:v>
      </x:c>
      <x:c r="E5" s="24" t="str">
        <x:v>ether1</x:v>
      </x:c>
      <x:c r="F5" s="24" t="str">
        <x:v>+IP</x:v>
      </x:c>
      <x:c r="G5" s="24" t="str">
        <x:v>NÃO INFORMADO</x:v>
      </x:c>
      <x:c r="H5" s="24" t="str">
        <x:v>hfj092jwfyr.sn.mynetname.net</x:v>
      </x:c>
      <x:c r="I5" s="32" t="n">
        <x:v>3199</x:v>
      </x:c>
      <x:c r="J5" s="25" t="str">
        <x:v>NÃO INFORMADO</x:v>
      </x:c>
    </x:row>
    <x:row r="6" ht="30" customHeight="1">
      <x:c r="A6" s="26" t="str">
        <x:v>ALTO RIO DOCE</x:v>
      </x:c>
      <x:c r="B6" s="27" t="str">
        <x:v>TORRE</x:v>
      </x:c>
      <x:c r="C6" s="27" t="str">
        <x:v>ALTO RIO DOCE TORRE</x:v>
      </x:c>
      <x:c r="D6" s="27" t="str">
        <x:v>FOX</x:v>
      </x:c>
      <x:c r="E6" s="27" t="str">
        <x:v>ether2</x:v>
      </x:c>
      <x:c r="F6" s="27" t="str">
        <x:v>+IP</x:v>
      </x:c>
      <x:c r="G6" s="27" t="str">
        <x:v>NÃO INFORMADO</x:v>
      </x:c>
      <x:c r="H6" s="27" t="str">
        <x:v>hfj092jwfyr.sn.mynetname.net</x:v>
      </x:c>
      <x:c r="I6" s="33" t="n">
        <x:v>3199</x:v>
      </x:c>
      <x:c r="J6" s="28" t="str">
        <x:v>NÃO INFORMADO</x:v>
      </x:c>
    </x:row>
    <x:row r="7" ht="30" customHeight="1">
      <x:c r="A7" s="26" t="str">
        <x:v>ARAXA</x:v>
      </x:c>
      <x:c r="B7" s="27" t="str">
        <x:v>NÃO INFORMADO</x:v>
      </x:c>
      <x:c r="C7" s="27" t="str">
        <x:v>ARAXA</x:v>
      </x:c>
      <x:c r="D7" s="27" t="str">
        <x:v>ALGAR</x:v>
      </x:c>
      <x:c r="E7" s="27" t="str">
        <x:v>ether1</x:v>
      </x:c>
      <x:c r="F7" s="27" t="str">
        <x:v>DHCP</x:v>
      </x:c>
      <x:c r="G7" s="27" t="str">
        <x:v>NÃO INFORMADO</x:v>
      </x:c>
      <x:c r="H7" s="27" t="str">
        <x:v>hhm0ac409dj.sn.mynetname.net</x:v>
      </x:c>
      <x:c r="I7" s="33" t="n">
        <x:v>3199</x:v>
      </x:c>
      <x:c r="J7" s="28" t="str">
        <x:v>NÃO INFORMADO</x:v>
      </x:c>
    </x:row>
    <x:row r="8" ht="30" customHeight="1">
      <x:c r="A8" s="26" t="str">
        <x:v>ARAXA</x:v>
      </x:c>
      <x:c r="B8" s="27" t="str">
        <x:v>NÃO INFORMADO</x:v>
      </x:c>
      <x:c r="C8" s="27" t="str">
        <x:v>ARAXA</x:v>
      </x:c>
      <x:c r="D8" s="27" t="str">
        <x:v>CLARO</x:v>
      </x:c>
      <x:c r="E8" s="27" t="str">
        <x:v>ether2</x:v>
      </x:c>
      <x:c r="F8" s="27" t="str">
        <x:v>+IP</x:v>
      </x:c>
      <x:c r="G8" s="27" t="str">
        <x:v>ativo - atual</x:v>
      </x:c>
      <x:c r="H8" s="27" t="str">
        <x:v>hhm0ac409dj.sn.mynetname.net</x:v>
      </x:c>
      <x:c r="I8" s="33" t="n">
        <x:v>3199</x:v>
      </x:c>
      <x:c r="J8" s="28" t="str">
        <x:v>NÃO INFORMADO</x:v>
      </x:c>
    </x:row>
    <x:row r="9" ht="30" customHeight="1">
      <x:c r="A9" s="26" t="str">
        <x:v>ARAXA</x:v>
      </x:c>
      <x:c r="B9" s="27" t="str">
        <x:v>TORRE</x:v>
      </x:c>
      <x:c r="C9" s="27" t="str">
        <x:v>ARAXA TORRE</x:v>
      </x:c>
      <x:c r="D9" s="27" t="str">
        <x:v>CLARO</x:v>
      </x:c>
      <x:c r="E9" s="27" t="str">
        <x:v>ether1</x:v>
      </x:c>
      <x:c r="F9" s="27" t="str">
        <x:v>+IP</x:v>
      </x:c>
      <x:c r="G9" s="27" t="str">
        <x:v>esta fora</x:v>
      </x:c>
      <x:c r="H9" s="27" t="str">
        <x:v>hfj098d05d8.sn.mynetname.net</x:v>
      </x:c>
      <x:c r="I9" s="33" t="n">
        <x:v>3199</x:v>
      </x:c>
      <x:c r="J9" s="28" t="str">
        <x:v>NÃO INFORMADO</x:v>
      </x:c>
    </x:row>
    <x:row r="10" ht="30" customHeight="1">
      <x:c r="A10" s="26" t="str">
        <x:v>ARAXA</x:v>
      </x:c>
      <x:c r="B10" s="27" t="str">
        <x:v>TORRE</x:v>
      </x:c>
      <x:c r="C10" s="27" t="str">
        <x:v>ARAXA TORRE</x:v>
      </x:c>
      <x:c r="D10" s="27" t="str">
        <x:v>ALGAR</x:v>
      </x:c>
      <x:c r="E10" s="27" t="str">
        <x:v>ether2</x:v>
      </x:c>
      <x:c r="F10" s="27" t="str">
        <x:v>DHCP</x:v>
      </x:c>
      <x:c r="G10" s="27" t="str">
        <x:v>atual</x:v>
      </x:c>
      <x:c r="H10" s="27" t="str">
        <x:v>hfj098d05d8.sn.mynetname.net</x:v>
      </x:c>
      <x:c r="I10" s="33" t="n">
        <x:v>3199</x:v>
      </x:c>
      <x:c r="J10" s="28" t="str">
        <x:v>NÃO INFORMADO</x:v>
      </x:c>
    </x:row>
    <x:row r="11" ht="30" customHeight="1">
      <x:c r="A11" s="26" t="str">
        <x:v>BARBACENA</x:v>
      </x:c>
      <x:c r="B11" s="27" t="str">
        <x:v>NÃO INFORMADO</x:v>
      </x:c>
      <x:c r="C11" s="27" t="str">
        <x:v>BARBACENA</x:v>
      </x:c>
      <x:c r="D11" s="27" t="str">
        <x:v>CONECTA</x:v>
      </x:c>
      <x:c r="E11" s="27" t="str">
        <x:v>ether1</x:v>
      </x:c>
      <x:c r="F11" s="27" t="str">
        <x:v>DHCP</x:v>
      </x:c>
      <x:c r="G11" s="27" t="str">
        <x:v>ativo</x:v>
      </x:c>
      <x:c r="H11" s="27" t="str">
        <x:v>hhm0a23y7kn.sn.mynetname.net</x:v>
      </x:c>
      <x:c r="I11" s="33" t="n">
        <x:v>3199</x:v>
      </x:c>
      <x:c r="J11" s="28" t="str">
        <x:v>NÃO INFORMADO</x:v>
      </x:c>
    </x:row>
    <x:row r="12" ht="30" customHeight="1">
      <x:c r="A12" s="26" t="str">
        <x:v>BARBACENA</x:v>
      </x:c>
      <x:c r="B12" s="27" t="str">
        <x:v>NÃO INFORMADO</x:v>
      </x:c>
      <x:c r="C12" s="27" t="str">
        <x:v>BARBACENA</x:v>
      </x:c>
      <x:c r="D12" s="27" t="str">
        <x:v>VERO</x:v>
      </x:c>
      <x:c r="E12" s="27" t="str">
        <x:v>ether2</x:v>
      </x:c>
      <x:c r="F12" s="27" t="str">
        <x:v>+IP</x:v>
      </x:c>
      <x:c r="G12" s="27" t="str">
        <x:v>ativo</x:v>
      </x:c>
      <x:c r="H12" s="27" t="str">
        <x:v>hhm0a23y7kn.sn.mynetname.net</x:v>
      </x:c>
      <x:c r="I12" s="33" t="n">
        <x:v>3199</x:v>
      </x:c>
      <x:c r="J12" s="28" t="str">
        <x:v>NÃO INFORMADO</x:v>
      </x:c>
    </x:row>
    <x:row r="13" ht="30" customHeight="1">
      <x:c r="A13" s="26" t="str">
        <x:v>BARBACENA</x:v>
      </x:c>
      <x:c r="B13" s="27" t="str">
        <x:v>TORRE</x:v>
      </x:c>
      <x:c r="C13" s="27" t="str">
        <x:v>BARBACENA TORRE</x:v>
      </x:c>
      <x:c r="D13" s="27" t="str">
        <x:v>CONECTA</x:v>
      </x:c>
      <x:c r="E13" s="27" t="str">
        <x:v>ether1</x:v>
      </x:c>
      <x:c r="F13" s="27" t="str">
        <x:v>DHCP (DMZ)</x:v>
      </x:c>
      <x:c r="G13" s="27" t="str">
        <x:v>ativo</x:v>
      </x:c>
      <x:c r="H13" s="27" t="str">
        <x:v>hhm0ac8g280.sn.mynetname.net</x:v>
      </x:c>
      <x:c r="I13" s="33" t="n">
        <x:v>3199</x:v>
      </x:c>
      <x:c r="J13" s="28" t="str">
        <x:v>NÃO INFORMADO</x:v>
      </x:c>
    </x:row>
    <x:row r="14" ht="30" customHeight="1">
      <x:c r="A14" s="26" t="str">
        <x:v>BARBACENA</x:v>
      </x:c>
      <x:c r="B14" s="27" t="str">
        <x:v>TORRE</x:v>
      </x:c>
      <x:c r="C14" s="27" t="str">
        <x:v>BARBACENA TORRE</x:v>
      </x:c>
      <x:c r="D14" s="27" t="str">
        <x:v>VERO</x:v>
      </x:c>
      <x:c r="E14" s="27" t="str">
        <x:v>ether2</x:v>
      </x:c>
      <x:c r="F14" s="27" t="str">
        <x:v>+IP</x:v>
      </x:c>
      <x:c r="G14" s="27" t="str">
        <x:v>ativo</x:v>
      </x:c>
      <x:c r="H14" s="27" t="str">
        <x:v>hhm0ac8g280.sn.mynetname.net</x:v>
      </x:c>
      <x:c r="I14" s="33" t="n">
        <x:v>3199</x:v>
      </x:c>
      <x:c r="J14" s="28" t="str">
        <x:v>NÃO INFORMADO</x:v>
      </x:c>
    </x:row>
    <x:row r="15" ht="30" customHeight="1">
      <x:c r="A15" s="26" t="str">
        <x:v>BELO HORIZONTE</x:v>
      </x:c>
      <x:c r="B15" s="27" t="str">
        <x:v>NÃO INFORMADO</x:v>
      </x:c>
      <x:c r="C15" s="27" t="str">
        <x:v>BELO HORIZONTE</x:v>
      </x:c>
      <x:c r="D15" s="27" t="str">
        <x:v>INTEREDE</x:v>
      </x:c>
      <x:c r="E15" s="27" t="str">
        <x:v>ether1</x:v>
      </x:c>
      <x:c r="F15" s="27" t="str">
        <x:v>+IP</x:v>
      </x:c>
      <x:c r="G15" s="27" t="str">
        <x:v>NÃO INFORMADO</x:v>
      </x:c>
      <x:c r="H15" s="27" t="str">
        <x:v>hgr0aftr7z6.sn.mynetname.net</x:v>
      </x:c>
      <x:c r="I15" s="33" t="n">
        <x:v>3199</x:v>
      </x:c>
      <x:c r="J15" s="28" t="str">
        <x:v>NÃO INFORMADO</x:v>
      </x:c>
    </x:row>
    <x:row r="16" ht="30" customHeight="1">
      <x:c r="A16" s="26" t="str">
        <x:v>BELO HORIZONTE</x:v>
      </x:c>
      <x:c r="B16" s="27" t="str">
        <x:v>NÃO INFORMADO</x:v>
      </x:c>
      <x:c r="C16" s="27" t="str">
        <x:v>BELO HORIZONTE</x:v>
      </x:c>
      <x:c r="D16" s="27" t="str">
        <x:v>SEMPRE</x:v>
      </x:c>
      <x:c r="E16" s="27" t="str">
        <x:v>ether2</x:v>
      </x:c>
      <x:c r="F16" s="27" t="str">
        <x:v>+IP</x:v>
      </x:c>
      <x:c r="G16" s="27" t="str">
        <x:v>NÃO INFORMADO</x:v>
      </x:c>
      <x:c r="H16" s="27" t="str">
        <x:v>hgr0aftr7z6.sn.mynetname.net</x:v>
      </x:c>
      <x:c r="I16" s="33" t="n">
        <x:v>3199</x:v>
      </x:c>
      <x:c r="J16" s="28" t="str">
        <x:v>NÃO INFORMADO</x:v>
      </x:c>
    </x:row>
    <x:row r="17" ht="30" customHeight="1">
      <x:c r="A17" s="26" t="str">
        <x:v>BELO HORIZONTE</x:v>
      </x:c>
      <x:c r="B17" s="27" t="str">
        <x:v>NÃO INFORMADO</x:v>
      </x:c>
      <x:c r="C17" s="27" t="str">
        <x:v>BELO HORIZONTE</x:v>
      </x:c>
      <x:c r="D17" s="27" t="str">
        <x:v>CLARO</x:v>
      </x:c>
      <x:c r="E17" s="27" t="str">
        <x:v>ether3</x:v>
      </x:c>
      <x:c r="F17" s="27" t="str">
        <x:v>DHCP (DMZ)</x:v>
      </x:c>
      <x:c r="G17" s="27" t="str">
        <x:v>NÃO INFORMADO</x:v>
      </x:c>
      <x:c r="H17" s="27" t="str">
        <x:v>hgr0aftr7z6.sn.mynetname.net</x:v>
      </x:c>
      <x:c r="I17" s="33" t="n">
        <x:v>3199</x:v>
      </x:c>
      <x:c r="J17" s="28" t="str">
        <x:v>NÃO INFORMADO</x:v>
      </x:c>
    </x:row>
    <x:row r="18" ht="30" customHeight="1">
      <x:c r="A18" s="26" t="str">
        <x:v>CAMBUI</x:v>
      </x:c>
      <x:c r="B18" s="27" t="str">
        <x:v>TORRE</x:v>
      </x:c>
      <x:c r="C18" s="27" t="str">
        <x:v>CAMBUI TORRE</x:v>
      </x:c>
      <x:c r="D18" s="27" t="str">
        <x:v>MICROPIC</x:v>
      </x:c>
      <x:c r="E18" s="27" t="str">
        <x:v>ether1</x:v>
      </x:c>
      <x:c r="F18" s="27" t="str">
        <x:v>+IP</x:v>
      </x:c>
      <x:c r="G18" s="27" t="str">
        <x:v>ativo</x:v>
      </x:c>
      <x:c r="H18" s="27" t="str">
        <x:v>hjt0ay79kk3.sn.mynetname.net</x:v>
      </x:c>
      <x:c r="I18" s="33" t="n">
        <x:v>3199</x:v>
      </x:c>
      <x:c r="J18" s="28" t="str">
        <x:v>NÃO INFORMADO</x:v>
      </x:c>
    </x:row>
    <x:row r="19" ht="30" customHeight="1">
      <x:c r="A19" s="26" t="str">
        <x:v>CARANGOLA</x:v>
      </x:c>
      <x:c r="B19" s="27" t="str">
        <x:v>TORRE</x:v>
      </x:c>
      <x:c r="C19" s="27" t="str">
        <x:v>CARANGOLA TORRE</x:v>
      </x:c>
      <x:c r="D19" s="27" t="str">
        <x:v>CHECKUP</x:v>
      </x:c>
      <x:c r="E19" s="27" t="str">
        <x:v>ether1</x:v>
      </x:c>
      <x:c r="F19" s="27" t="str">
        <x:v>+IP</x:v>
      </x:c>
      <x:c r="G19" s="27" t="str">
        <x:v>NÃO INFORMADO</x:v>
      </x:c>
      <x:c r="H19" s="27" t="str">
        <x:v>hfj092sb6yd.sn.mynetname.net</x:v>
      </x:c>
      <x:c r="I19" s="33" t="n">
        <x:v>3199</x:v>
      </x:c>
      <x:c r="J19" s="28" t="str">
        <x:v>NÃO INFORMADO</x:v>
      </x:c>
    </x:row>
    <x:row r="20" ht="30" customHeight="1">
      <x:c r="A20" s="26" t="str">
        <x:v>DIAMANTINA</x:v>
      </x:c>
      <x:c r="B20" s="27" t="str">
        <x:v>NÃO INFORMADO</x:v>
      </x:c>
      <x:c r="C20" s="27" t="str">
        <x:v>DIAMANTINA</x:v>
      </x:c>
      <x:c r="D20" s="27" t="str">
        <x:v>BIZZ/CMD</x:v>
      </x:c>
      <x:c r="E20" s="27" t="str">
        <x:v>ether1</x:v>
      </x:c>
      <x:c r="F20" s="27" t="str">
        <x:v>+IP (PPPoE)</x:v>
      </x:c>
      <x:c r="G20" s="27" t="str">
        <x:v>ativo</x:v>
      </x:c>
      <x:c r="H20" s="27" t="str">
        <x:v>hhm0a599w25.sn.mynetname.net</x:v>
      </x:c>
      <x:c r="I20" s="33" t="n">
        <x:v>3199</x:v>
      </x:c>
      <x:c r="J20" s="28" t="str">
        <x:v>NÃO INFORMADO</x:v>
      </x:c>
    </x:row>
    <x:row r="21" ht="30" customHeight="1">
      <x:c r="A21" s="26" t="str">
        <x:v>DIAMANTINA</x:v>
      </x:c>
      <x:c r="B21" s="27" t="str">
        <x:v>TORRE</x:v>
      </x:c>
      <x:c r="C21" s="27" t="str">
        <x:v>DIAMANTINA TORRE</x:v>
      </x:c>
      <x:c r="D21" s="27" t="str">
        <x:v>NORTH TELECOM</x:v>
      </x:c>
      <x:c r="E21" s="27" t="str">
        <x:v>ether1</x:v>
      </x:c>
      <x:c r="F21" s="27" t="str">
        <x:v>+IP</x:v>
      </x:c>
      <x:c r="G21" s="27" t="str">
        <x:v>ativo</x:v>
      </x:c>
      <x:c r="H21" s="27" t="str">
        <x:v>hfj090qqw9g.sn.mynetname.net</x:v>
      </x:c>
      <x:c r="I21" s="33" t="n">
        <x:v>3199</x:v>
      </x:c>
      <x:c r="J21" s="28" t="str">
        <x:v>NÃO INFORMADO</x:v>
      </x:c>
    </x:row>
    <x:row r="22" ht="30" customHeight="1">
      <x:c r="A22" s="26" t="str">
        <x:v>GOV VALADARES</x:v>
      </x:c>
      <x:c r="B22" s="27" t="str">
        <x:v>NÃO INFORMADO</x:v>
      </x:c>
      <x:c r="C22" s="27" t="str">
        <x:v>GOV VALADARES</x:v>
      </x:c>
      <x:c r="D22" s="27" t="str">
        <x:v>VERO</x:v>
      </x:c>
      <x:c r="E22" s="27" t="str">
        <x:v>ether1</x:v>
      </x:c>
      <x:c r="F22" s="27" t="str">
        <x:v>+IP</x:v>
      </x:c>
      <x:c r="G22" s="27" t="str">
        <x:v>ativo</x:v>
      </x:c>
      <x:c r="H22" s="27" t="str">
        <x:v>hhj0a5vsypq.sn.mynetname.net</x:v>
      </x:c>
      <x:c r="I22" s="33" t="n">
        <x:v>3199</x:v>
      </x:c>
      <x:c r="J22" s="28" t="str">
        <x:v>NÃO INFORMADO</x:v>
      </x:c>
    </x:row>
    <x:row r="23" ht="30" customHeight="1">
      <x:c r="A23" s="26" t="str">
        <x:v>GOV VALADARES</x:v>
      </x:c>
      <x:c r="B23" s="27" t="str">
        <x:v>TORRE</x:v>
      </x:c>
      <x:c r="C23" s="27" t="str">
        <x:v>GOV VALADARES TORRE</x:v>
      </x:c>
      <x:c r="D23" s="27" t="str">
        <x:v>SUPERNET</x:v>
      </x:c>
      <x:c r="E23" s="27" t="str">
        <x:v>ether1</x:v>
      </x:c>
      <x:c r="F23" s="27" t="str">
        <x:v>+IP</x:v>
      </x:c>
      <x:c r="G23" s="27" t="str">
        <x:v>ativo</x:v>
      </x:c>
      <x:c r="H23" s="27" t="str">
        <x:v>hk00ah3temt.sn.mynetname.net</x:v>
      </x:c>
      <x:c r="I23" s="33" t="n">
        <x:v>3199</x:v>
      </x:c>
      <x:c r="J23" s="28" t="str">
        <x:v>NÃO INFORMADO</x:v>
      </x:c>
    </x:row>
    <x:row r="24" ht="30" customHeight="1">
      <x:c r="A24" s="26" t="str">
        <x:v>IPATINGA</x:v>
      </x:c>
      <x:c r="B24" s="27" t="str">
        <x:v>NÃO INFORMADO</x:v>
      </x:c>
      <x:c r="C24" s="27" t="str">
        <x:v>IPATINGA</x:v>
      </x:c>
      <x:c r="D24" s="27" t="str">
        <x:v>VERO</x:v>
      </x:c>
      <x:c r="E24" s="27" t="str">
        <x:v>ether1</x:v>
      </x:c>
      <x:c r="F24" s="27" t="str">
        <x:v>DHCP</x:v>
      </x:c>
      <x:c r="G24" s="27" t="str">
        <x:v>NÃO INFORMADO</x:v>
      </x:c>
      <x:c r="H24" s="27" t="str">
        <x:v>hhm0a0g2q9j.sn.mynetname.net</x:v>
      </x:c>
      <x:c r="I24" s="33" t="n">
        <x:v>3199</x:v>
      </x:c>
      <x:c r="J24" s="28" t="str">
        <x:v>NÃO INFORMADO</x:v>
      </x:c>
    </x:row>
    <x:row r="25" ht="30" customHeight="1">
      <x:c r="A25" s="26" t="str">
        <x:v>IPATINGA</x:v>
      </x:c>
      <x:c r="B25" s="27" t="str">
        <x:v>NÃO INFORMADO</x:v>
      </x:c>
      <x:c r="C25" s="27" t="str">
        <x:v>IPATINGA</x:v>
      </x:c>
      <x:c r="D25" s="27" t="str">
        <x:v>SUPRANET</x:v>
      </x:c>
      <x:c r="E25" s="27" t="str">
        <x:v>ether2</x:v>
      </x:c>
      <x:c r="F25" s="27" t="str">
        <x:v>+IP</x:v>
      </x:c>
      <x:c r="G25" s="27" t="str">
        <x:v>NÃO INFORMADO</x:v>
      </x:c>
      <x:c r="H25" s="27" t="str">
        <x:v>hhm0a0g2q9j.sn.mynetname.net</x:v>
      </x:c>
      <x:c r="I25" s="33" t="n">
        <x:v>3199</x:v>
      </x:c>
      <x:c r="J25" s="28" t="str">
        <x:v>NÃO INFORMADO</x:v>
      </x:c>
    </x:row>
    <x:row r="26" ht="30" customHeight="1">
      <x:c r="A26" s="26" t="str">
        <x:v>JOAO PINHEIRO</x:v>
      </x:c>
      <x:c r="B26" s="27" t="str">
        <x:v>NÃO INFORMADO</x:v>
      </x:c>
      <x:c r="C26" s="27" t="str">
        <x:v>JOAO PINHEIRO</x:v>
      </x:c>
      <x:c r="D26" s="27" t="str">
        <x:v>NOROESTE</x:v>
      </x:c>
      <x:c r="E26" s="27" t="str">
        <x:v>ether1</x:v>
      </x:c>
      <x:c r="F26" s="27" t="str">
        <x:v>DHCP</x:v>
      </x:c>
      <x:c r="G26" s="27" t="str">
        <x:v>NÃO INFORMADO</x:v>
      </x:c>
      <x:c r="H26" s="27" t="str">
        <x:v>hfj09bq9bw7.sn.mynetname.net</x:v>
      </x:c>
      <x:c r="I26" s="33" t="n">
        <x:v>3199</x:v>
      </x:c>
      <x:c r="J26" s="28" t="str">
        <x:v>NÃO INFORMADO</x:v>
      </x:c>
    </x:row>
    <x:row r="27" ht="30" customHeight="1">
      <x:c r="A27" s="26" t="str">
        <x:v>JOAO PINHEIRO</x:v>
      </x:c>
      <x:c r="B27" s="27" t="str">
        <x:v>TORRE</x:v>
      </x:c>
      <x:c r="C27" s="27" t="str">
        <x:v>JOAO PINHEIRO TORRE</x:v>
      </x:c>
      <x:c r="D27" s="27" t="str">
        <x:v>NOROESTE</x:v>
      </x:c>
      <x:c r="E27" s="27" t="str">
        <x:v>ether1</x:v>
      </x:c>
      <x:c r="F27" s="27" t="str">
        <x:v>+IP</x:v>
      </x:c>
      <x:c r="G27" s="27" t="str">
        <x:v>NÃO INFORMADO</x:v>
      </x:c>
      <x:c r="H27" s="27" t="str">
        <x:v>hfj099dfpnd.sn.mynetname.net</x:v>
      </x:c>
      <x:c r="I27" s="33" t="n">
        <x:v>3199</x:v>
      </x:c>
      <x:c r="J27" s="28" t="str">
        <x:v>NÃO INFORMADO</x:v>
      </x:c>
    </x:row>
    <x:row r="28" ht="30" customHeight="1">
      <x:c r="A28" s="26" t="str">
        <x:v>JUIZ DE FORA</x:v>
      </x:c>
      <x:c r="B28" s="27" t="str">
        <x:v>NÃO INFORMADO</x:v>
      </x:c>
      <x:c r="C28" s="27" t="str">
        <x:v>JUIZ DE FORA</x:v>
      </x:c>
      <x:c r="D28" s="27" t="str">
        <x:v>VIVO</x:v>
      </x:c>
      <x:c r="E28" s="27" t="str">
        <x:v>ether1</x:v>
      </x:c>
      <x:c r="F28" s="27" t="str">
        <x:v>DHCP</x:v>
      </x:c>
      <x:c r="G28" s="27" t="str">
        <x:v>NÃO INFORMADO</x:v>
      </x:c>
      <x:c r="H28" s="27" t="str">
        <x:v>hh80aeyqybg.sn.mynetname.net</x:v>
      </x:c>
      <x:c r="I28" s="33" t="n">
        <x:v>3199</x:v>
      </x:c>
      <x:c r="J28" s="28" t="str">
        <x:v>NÃO INFORMADO</x:v>
      </x:c>
    </x:row>
    <x:row r="29" ht="30" customHeight="1">
      <x:c r="A29" s="26" t="str">
        <x:v>JUIZ DE FORA</x:v>
      </x:c>
      <x:c r="B29" s="27" t="str">
        <x:v>NÃO INFORMADO</x:v>
      </x:c>
      <x:c r="C29" s="27" t="str">
        <x:v>JUIZ DE FORA</x:v>
      </x:c>
      <x:c r="D29" s="27" t="str">
        <x:v>ALGAR</x:v>
      </x:c>
      <x:c r="E29" s="27" t="str">
        <x:v>ether2</x:v>
      </x:c>
      <x:c r="F29" s="27" t="str">
        <x:v>+IP</x:v>
      </x:c>
      <x:c r="G29" s="27" t="str">
        <x:v>NÃO INFORMADO</x:v>
      </x:c>
      <x:c r="H29" s="27" t="str">
        <x:v>hh80aeyqybg.sn.mynetname.net</x:v>
      </x:c>
      <x:c r="I29" s="33" t="n">
        <x:v>3199</x:v>
      </x:c>
      <x:c r="J29" s="28" t="str">
        <x:v>NÃO INFORMADO</x:v>
      </x:c>
    </x:row>
    <x:row r="30" ht="30" customHeight="1">
      <x:c r="A30" s="26" t="str">
        <x:v>JUIZ DE FORA</x:v>
      </x:c>
      <x:c r="B30" s="27" t="str">
        <x:v>TORRE</x:v>
      </x:c>
      <x:c r="C30" s="27" t="str">
        <x:v>JUIZ DE FORA TORRE</x:v>
      </x:c>
      <x:c r="D30" s="27" t="str">
        <x:v>ALGAR</x:v>
      </x:c>
      <x:c r="E30" s="27" t="str">
        <x:v>ether1</x:v>
      </x:c>
      <x:c r="F30" s="27" t="str">
        <x:v>+IP</x:v>
      </x:c>
      <x:c r="G30" s="27" t="str">
        <x:v>NÃO INFORMADO</x:v>
      </x:c>
      <x:c r="H30" s="27" t="str">
        <x:v>hhm0a3gyphm.sn.mynetname.net</x:v>
      </x:c>
      <x:c r="I30" s="33" t="n">
        <x:v>3199</x:v>
      </x:c>
      <x:c r="J30" s="28" t="str">
        <x:v>NÃO INFORMADO</x:v>
      </x:c>
    </x:row>
    <x:row r="31" ht="30" customHeight="1">
      <x:c r="A31" s="26" t="str">
        <x:v>JUIZ DE FORA</x:v>
      </x:c>
      <x:c r="B31" s="27" t="str">
        <x:v>TORRE</x:v>
      </x:c>
      <x:c r="C31" s="27" t="str">
        <x:v>JUIZ DE FORA TORRE</x:v>
      </x:c>
      <x:c r="D31" s="27" t="str">
        <x:v>VERO</x:v>
      </x:c>
      <x:c r="E31" s="27" t="str">
        <x:v>ether2</x:v>
      </x:c>
      <x:c r="F31" s="27" t="str">
        <x:v>DHCP</x:v>
      </x:c>
      <x:c r="G31" s="27" t="str">
        <x:v>NÃO INFORMADO</x:v>
      </x:c>
      <x:c r="H31" s="27" t="str">
        <x:v>hhm0a3gyphm.sn.mynetname.net</x:v>
      </x:c>
      <x:c r="I31" s="33" t="n">
        <x:v>3199</x:v>
      </x:c>
      <x:c r="J31" s="28" t="str">
        <x:v>NÃO INFORMADO</x:v>
      </x:c>
    </x:row>
    <x:row r="32" ht="30" customHeight="1">
      <x:c r="A32" s="26" t="str">
        <x:v>LEOPOLDINA</x:v>
      </x:c>
      <x:c r="B32" s="27" t="str">
        <x:v>NÃO INFORMADO</x:v>
      </x:c>
      <x:c r="C32" s="27" t="str">
        <x:v>LEOPOLDINA</x:v>
      </x:c>
      <x:c r="D32" s="27" t="str">
        <x:v>STARLINK</x:v>
      </x:c>
      <x:c r="E32" s="27" t="str">
        <x:v>ether1</x:v>
      </x:c>
      <x:c r="F32" s="27" t="str">
        <x:v>DHCP</x:v>
      </x:c>
      <x:c r="G32" s="27" t="str">
        <x:v>NÃO INFORMADO</x:v>
      </x:c>
      <x:c r="H32" s="27" t="str">
        <x:v>hjq0apv39ak.sn.mynetname.net</x:v>
      </x:c>
      <x:c r="I32" s="33" t="n">
        <x:v>3199</x:v>
      </x:c>
      <x:c r="J32" s="28" t="str">
        <x:v>NÃO INFORMADO</x:v>
      </x:c>
    </x:row>
    <x:row r="33" ht="30" customHeight="1">
      <x:c r="A33" s="26" t="str">
        <x:v>LEOPOLDINA</x:v>
      </x:c>
      <x:c r="B33" s="27" t="str">
        <x:v>NÃO INFORMADO</x:v>
      </x:c>
      <x:c r="C33" s="27" t="str">
        <x:v>LEOPOLDINA</x:v>
      </x:c>
      <x:c r="D33" s="27" t="str">
        <x:v>BRASILNET</x:v>
      </x:c>
      <x:c r="E33" s="27" t="str">
        <x:v>ether2</x:v>
      </x:c>
      <x:c r="F33" s="27" t="str">
        <x:v>+IP</x:v>
      </x:c>
      <x:c r="G33" s="27" t="str">
        <x:v>NÃO INFORMADO</x:v>
      </x:c>
      <x:c r="H33" s="27" t="str">
        <x:v>hjq0apv39ak.sn.mynetname.net</x:v>
      </x:c>
      <x:c r="I33" s="33" t="n">
        <x:v>3199</x:v>
      </x:c>
      <x:c r="J33" s="28" t="str">
        <x:v>NÃO INFORMADO</x:v>
      </x:c>
    </x:row>
    <x:row r="34" ht="30" customHeight="1">
      <x:c r="A34" s="26" t="str">
        <x:v>LEOPOLDINA</x:v>
      </x:c>
      <x:c r="B34" s="27" t="str">
        <x:v>TORRE</x:v>
      </x:c>
      <x:c r="C34" s="27" t="str">
        <x:v>LEOPOLDINA TORRE</x:v>
      </x:c>
      <x:c r="D34" s="27" t="str">
        <x:v>TEL LEOPOLD</x:v>
      </x:c>
      <x:c r="E34" s="27" t="str">
        <x:v>ether2</x:v>
      </x:c>
      <x:c r="F34" s="27" t="str">
        <x:v>+IP</x:v>
      </x:c>
      <x:c r="G34" s="27" t="str">
        <x:v>NÃO INFORMADO</x:v>
      </x:c>
      <x:c r="H34" s="27" t="str">
        <x:v>hhm0acp6amw.sn.mynetname.net</x:v>
      </x:c>
      <x:c r="I34" s="33" t="n">
        <x:v>3199</x:v>
      </x:c>
      <x:c r="J34" s="28" t="str">
        <x:v>NÃO INFORMADO</x:v>
      </x:c>
    </x:row>
    <x:row r="35" ht="30" customHeight="1">
      <x:c r="A35" s="26" t="str">
        <x:v>MACHADO</x:v>
      </x:c>
      <x:c r="B35" s="27" t="str">
        <x:v>NÃO INFORMADO</x:v>
      </x:c>
      <x:c r="C35" s="27" t="str">
        <x:v>MACHADO</x:v>
      </x:c>
      <x:c r="D35" s="27" t="str">
        <x:v>AXTEL</x:v>
      </x:c>
      <x:c r="E35" s="27" t="str">
        <x:v>ether1</x:v>
      </x:c>
      <x:c r="F35" s="27" t="str">
        <x:v>+IP</x:v>
      </x:c>
      <x:c r="G35" s="27" t="str">
        <x:v>NÃO INFORMADO</x:v>
      </x:c>
      <x:c r="H35" s="27" t="str">
        <x:v>hhm0a04690n.sn.mynetname.net</x:v>
      </x:c>
      <x:c r="I35" s="33" t="n">
        <x:v>3199</x:v>
      </x:c>
      <x:c r="J35" s="28" t="str">
        <x:v>NÃO INFORMADO</x:v>
      </x:c>
    </x:row>
    <x:row r="36" ht="30" customHeight="1">
      <x:c r="A36" s="26" t="str">
        <x:v>MACHADO</x:v>
      </x:c>
      <x:c r="B36" s="27" t="str">
        <x:v>NÃO INFORMADO</x:v>
      </x:c>
      <x:c r="C36" s="27" t="str">
        <x:v>MACHADO</x:v>
      </x:c>
      <x:c r="D36" s="27" t="str">
        <x:v>AXNET</x:v>
      </x:c>
      <x:c r="E36" s="27" t="str">
        <x:v>ether2</x:v>
      </x:c>
      <x:c r="F36" s="27" t="str">
        <x:v>+IP</x:v>
      </x:c>
      <x:c r="G36" s="27" t="str">
        <x:v>NÃO INFORMADO</x:v>
      </x:c>
      <x:c r="H36" s="27" t="str">
        <x:v>hhm0a04690n.sn.mynetname.net</x:v>
      </x:c>
      <x:c r="I36" s="33" t="n">
        <x:v>3199</x:v>
      </x:c>
      <x:c r="J36" s="28" t="str">
        <x:v>NÃO INFORMADO</x:v>
      </x:c>
    </x:row>
    <x:row r="37" ht="30" customHeight="1">
      <x:c r="A37" s="26" t="str">
        <x:v>MACHADO</x:v>
      </x:c>
      <x:c r="B37" s="27" t="str">
        <x:v>TORRE</x:v>
      </x:c>
      <x:c r="C37" s="27" t="str">
        <x:v>MACHADO TORRE</x:v>
      </x:c>
      <x:c r="D37" s="27" t="str">
        <x:v>AXTEL</x:v>
      </x:c>
      <x:c r="E37" s="27" t="str">
        <x:v>ether1</x:v>
      </x:c>
      <x:c r="F37" s="27" t="str">
        <x:v>+IP</x:v>
      </x:c>
      <x:c r="G37" s="27" t="str">
        <x:v>NÃO INFORMADO</x:v>
      </x:c>
      <x:c r="H37" s="27" t="str">
        <x:v>hhm0aep1j5g.sn.mynetname.net</x:v>
      </x:c>
      <x:c r="I37" s="33" t="n">
        <x:v>3199</x:v>
      </x:c>
      <x:c r="J37" s="28" t="str">
        <x:v>NÃO INFORMADO</x:v>
      </x:c>
    </x:row>
    <x:row r="38" ht="30" customHeight="1">
      <x:c r="A38" s="26" t="str">
        <x:v>MACHADO</x:v>
      </x:c>
      <x:c r="B38" s="27" t="str">
        <x:v>TORRE</x:v>
      </x:c>
      <x:c r="C38" s="27" t="str">
        <x:v>MACHADO TORRE</x:v>
      </x:c>
      <x:c r="D38" s="27" t="str">
        <x:v>AXNET</x:v>
      </x:c>
      <x:c r="E38" s="27" t="str">
        <x:v>ether2</x:v>
      </x:c>
      <x:c r="F38" s="27" t="str">
        <x:v>+IP</x:v>
      </x:c>
      <x:c r="G38" s="27" t="str">
        <x:v>NÃO INFORMADO</x:v>
      </x:c>
      <x:c r="H38" s="27" t="str">
        <x:v>hhm0aep1j5g.sn.mynetname.net</x:v>
      </x:c>
      <x:c r="I38" s="33" t="n">
        <x:v>3199</x:v>
      </x:c>
      <x:c r="J38" s="28" t="str">
        <x:v>NÃO INFORMADO</x:v>
      </x:c>
    </x:row>
    <x:row r="39" ht="30" customHeight="1">
      <x:c r="A39" s="26" t="str">
        <x:v>MONTES CLAROS</x:v>
      </x:c>
      <x:c r="B39" s="27" t="str">
        <x:v>NÃO INFORMADO</x:v>
      </x:c>
      <x:c r="C39" s="27" t="str">
        <x:v>MONTES CLAROS</x:v>
      </x:c>
      <x:c r="D39" s="27" t="str">
        <x:v>PROVEMINAS</x:v>
      </x:c>
      <x:c r="E39" s="27" t="str">
        <x:v>ether1</x:v>
      </x:c>
      <x:c r="F39" s="27" t="str">
        <x:v>+IP</x:v>
      </x:c>
      <x:c r="G39" s="27" t="str">
        <x:v>NÃO INFORMADO</x:v>
      </x:c>
      <x:c r="H39" s="27" t="str">
        <x:v>hhm0ad6bebv.sn.mynetname.net</x:v>
      </x:c>
      <x:c r="I39" s="33" t="n">
        <x:v>3199</x:v>
      </x:c>
      <x:c r="J39" s="28" t="str">
        <x:v>NÃO INFORMADO</x:v>
      </x:c>
    </x:row>
    <x:row r="40" ht="30" customHeight="1">
      <x:c r="A40" s="26" t="str">
        <x:v>MONTES CLAROS</x:v>
      </x:c>
      <x:c r="B40" s="27" t="str">
        <x:v>TORRE</x:v>
      </x:c>
      <x:c r="C40" s="27" t="str">
        <x:v>MONTES CLAROS TORRE</x:v>
      </x:c>
      <x:c r="D40" s="27" t="str">
        <x:v>PROVEMINAS</x:v>
      </x:c>
      <x:c r="E40" s="27" t="str">
        <x:v>sfp1</x:v>
      </x:c>
      <x:c r="F40" s="27" t="str">
        <x:v>+IP</x:v>
      </x:c>
      <x:c r="G40" s="27" t="str">
        <x:v>NÃO INFORMADO</x:v>
      </x:c>
      <x:c r="H40" s="27" t="str">
        <x:v>783d076df4ef.sn.mynetname.net</x:v>
      </x:c>
      <x:c r="I40" s="33" t="n">
        <x:v>3199</x:v>
      </x:c>
      <x:c r="J40" s="28" t="str">
        <x:v>NÃO INFORMADO</x:v>
      </x:c>
    </x:row>
    <x:row r="41" ht="30" customHeight="1">
      <x:c r="A41" s="26" t="str">
        <x:v>NEPOMUCENO</x:v>
      </x:c>
      <x:c r="B41" s="27" t="str">
        <x:v>TORRE</x:v>
      </x:c>
      <x:c r="C41" s="27" t="str">
        <x:v>NEPOMUCENO TORRE</x:v>
      </x:c>
      <x:c r="D41" s="27" t="str">
        <x:v>AGYONET</x:v>
      </x:c>
      <x:c r="E41" s="27" t="str">
        <x:v>ether1</x:v>
      </x:c>
      <x:c r="F41" s="27" t="str">
        <x:v>+IP</x:v>
      </x:c>
      <x:c r="G41" s="27" t="str">
        <x:v>NÃO INFORMADO</x:v>
      </x:c>
      <x:c r="H41" s="27" t="str">
        <x:v>hfj09fgwty2.sn.mynetname.net</x:v>
      </x:c>
      <x:c r="I41" s="33" t="n">
        <x:v>3199</x:v>
      </x:c>
      <x:c r="J41" s="28" t="str">
        <x:v>NÃO INFORMADO</x:v>
      </x:c>
    </x:row>
    <x:row r="42" ht="30" customHeight="1">
      <x:c r="A42" s="26" t="str">
        <x:v>PATOS MINAS</x:v>
      </x:c>
      <x:c r="B42" s="27" t="str">
        <x:v>NÃO INFORMADO</x:v>
      </x:c>
      <x:c r="C42" s="27" t="str">
        <x:v>PATOS MINAS</x:v>
      </x:c>
      <x:c r="D42" s="27" t="str">
        <x:v>PLAYNET</x:v>
      </x:c>
      <x:c r="E42" s="27" t="str">
        <x:v>ether1</x:v>
      </x:c>
      <x:c r="F42" s="27" t="str">
        <x:v>+IP</x:v>
      </x:c>
      <x:c r="G42" s="27" t="str">
        <x:v>NÃO INFORMADO</x:v>
      </x:c>
      <x:c r="H42" s="27" t="str">
        <x:v>hhj0a0yhnce.sn.mynetname.net</x:v>
      </x:c>
      <x:c r="I42" s="33" t="n">
        <x:v>3199</x:v>
      </x:c>
      <x:c r="J42" s="28" t="str">
        <x:v>NÃO INFORMADO</x:v>
      </x:c>
    </x:row>
    <x:row r="43" ht="30" customHeight="1">
      <x:c r="A43" s="26" t="str">
        <x:v>PATOS MINAS</x:v>
      </x:c>
      <x:c r="B43" s="27" t="str">
        <x:v>TORRE</x:v>
      </x:c>
      <x:c r="C43" s="27" t="str">
        <x:v>PATOS MINAS TORRE</x:v>
      </x:c>
      <x:c r="D43" s="27" t="str">
        <x:v>CLARO</x:v>
      </x:c>
      <x:c r="E43" s="27" t="str">
        <x:v>ether1</x:v>
      </x:c>
      <x:c r="F43" s="27" t="str">
        <x:v>+IP</x:v>
      </x:c>
      <x:c r="G43" s="27" t="str">
        <x:v>NÃO INFORMADO</x:v>
      </x:c>
      <x:c r="H43" s="27" t="str">
        <x:v>hfj09fz7c5v.sn.mynetname.net</x:v>
      </x:c>
      <x:c r="I43" s="33" t="n">
        <x:v>3199</x:v>
      </x:c>
      <x:c r="J43" s="28" t="str">
        <x:v>NÃO INFORMADO</x:v>
      </x:c>
    </x:row>
    <x:row r="44" ht="30" customHeight="1">
      <x:c r="A44" s="26" t="str">
        <x:v>PATOS MINAS</x:v>
      </x:c>
      <x:c r="B44" s="27" t="str">
        <x:v>TORRE</x:v>
      </x:c>
      <x:c r="C44" s="27" t="str">
        <x:v>PATOS MINAS TORRE</x:v>
      </x:c>
      <x:c r="D44" s="27" t="str">
        <x:v>PLAYNET</x:v>
      </x:c>
      <x:c r="E44" s="27" t="str">
        <x:v>ether2</x:v>
      </x:c>
      <x:c r="F44" s="27" t="str">
        <x:v>+IP</x:v>
      </x:c>
      <x:c r="G44" s="27" t="str">
        <x:v>NÃO INFORMADO</x:v>
      </x:c>
      <x:c r="H44" s="27" t="str">
        <x:v>hfj09fz7c5v.sn.mynetname.net</x:v>
      </x:c>
      <x:c r="I44" s="33" t="n">
        <x:v>3199</x:v>
      </x:c>
      <x:c r="J44" s="28" t="str">
        <x:v>NÃO INFORMADO</x:v>
      </x:c>
    </x:row>
    <x:row r="45" ht="30" customHeight="1">
      <x:c r="A45" s="26" t="str">
        <x:v>POUSO ALEGRE</x:v>
      </x:c>
      <x:c r="B45" s="27" t="str">
        <x:v>NÃO INFORMADO</x:v>
      </x:c>
      <x:c r="C45" s="27" t="str">
        <x:v>POUSO ALEGRE</x:v>
      </x:c>
      <x:c r="D45" s="27" t="str">
        <x:v>VOLUY</x:v>
      </x:c>
      <x:c r="E45" s="27" t="str">
        <x:v>ether1</x:v>
      </x:c>
      <x:c r="F45" s="27" t="str">
        <x:v>+IP</x:v>
      </x:c>
      <x:c r="G45" s="27" t="str">
        <x:v>NÃO INFORMADO</x:v>
      </x:c>
      <x:c r="H45" s="27" t="str">
        <x:v>hhm0a6jwv94.sn.mynetname.net</x:v>
      </x:c>
      <x:c r="I45" s="33" t="n">
        <x:v>3199</x:v>
      </x:c>
      <x:c r="J45" s="28" t="str">
        <x:v>NÃO INFORMADO</x:v>
      </x:c>
    </x:row>
    <x:row r="46" ht="30" customHeight="1">
      <x:c r="A46" s="26" t="str">
        <x:v>RIO DE JANEIRO</x:v>
      </x:c>
      <x:c r="B46" s="27" t="str">
        <x:v>NÃO INFORMADO</x:v>
      </x:c>
      <x:c r="C46" s="27" t="str">
        <x:v>RIO DE JANEIRO</x:v>
      </x:c>
      <x:c r="D46" s="27" t="str">
        <x:v>VIVO</x:v>
      </x:c>
      <x:c r="E46" s="27" t="str">
        <x:v>ether1</x:v>
      </x:c>
      <x:c r="F46" s="27" t="str">
        <x:v>+IP</x:v>
      </x:c>
      <x:c r="G46" s="27" t="str">
        <x:v>NÃO INFORMADO</x:v>
      </x:c>
      <x:c r="H46" s="27" t="str">
        <x:v>hf509d4k8dd.sn.mynetname.net</x:v>
      </x:c>
      <x:c r="I46" s="33" t="n">
        <x:v>3199</x:v>
      </x:c>
      <x:c r="J46" s="28" t="str">
        <x:v>NÃO INFORMADO</x:v>
      </x:c>
    </x:row>
    <x:row r="47" ht="30" customHeight="1">
      <x:c r="A47" s="26" t="str">
        <x:v>RIO DE JANEIRO</x:v>
      </x:c>
      <x:c r="B47" s="27" t="str">
        <x:v>NÃO INFORMADO</x:v>
      </x:c>
      <x:c r="C47" s="27" t="str">
        <x:v>RIO DE JANEIRO</x:v>
      </x:c>
      <x:c r="D47" s="27" t="str">
        <x:v>VIVO</x:v>
      </x:c>
      <x:c r="E47" s="27" t="str">
        <x:v>ether2</x:v>
      </x:c>
      <x:c r="F47" s="27" t="str">
        <x:v>DHCP</x:v>
      </x:c>
      <x:c r="G47" s="27" t="str">
        <x:v>NÃO INFORMADO</x:v>
      </x:c>
      <x:c r="H47" s="27" t="str">
        <x:v>hf509d4k8dd.sn.mynetname.net</x:v>
      </x:c>
      <x:c r="I47" s="33" t="n">
        <x:v>3199</x:v>
      </x:c>
      <x:c r="J47" s="28" t="str">
        <x:v>NÃO INFORMADO</x:v>
      </x:c>
    </x:row>
    <x:row r="48" ht="30" customHeight="1">
      <x:c r="A48" s="26" t="str">
        <x:v>TEOFILO OTONI</x:v>
      </x:c>
      <x:c r="B48" s="27" t="str">
        <x:v>NÃO INFORMADO</x:v>
      </x:c>
      <x:c r="C48" s="27" t="str">
        <x:v>TEOFILO OTONI</x:v>
      </x:c>
      <x:c r="D48" s="27" t="str">
        <x:v>INET</x:v>
      </x:c>
      <x:c r="E48" s="27" t="str">
        <x:v>ether1</x:v>
      </x:c>
      <x:c r="F48" s="27" t="str">
        <x:v>+IP</x:v>
      </x:c>
      <x:c r="G48" s="27" t="str">
        <x:v>ativo</x:v>
      </x:c>
      <x:c r="H48" s="27" t="str">
        <x:v>hhm0a4ddtaa.sn.mynetname.net</x:v>
      </x:c>
      <x:c r="I48" s="33" t="n">
        <x:v>3199</x:v>
      </x:c>
      <x:c r="J48" s="28" t="str">
        <x:v>NÃO INFORMADO</x:v>
      </x:c>
    </x:row>
    <x:row r="49" ht="30" customHeight="1">
      <x:c r="A49" s="26" t="str">
        <x:v>TEOFILO OTONI</x:v>
      </x:c>
      <x:c r="B49" s="27" t="str">
        <x:v>NÃO INFORMADO</x:v>
      </x:c>
      <x:c r="C49" s="27" t="str">
        <x:v>TEOFILO OTONI</x:v>
      </x:c>
      <x:c r="D49" s="27" t="str">
        <x:v>VERO</x:v>
      </x:c>
      <x:c r="E49" s="27" t="str">
        <x:v>ether2</x:v>
      </x:c>
      <x:c r="F49" s="27" t="str">
        <x:v>+IP</x:v>
      </x:c>
      <x:c r="G49" s="27" t="str">
        <x:v>ativo bkp</x:v>
      </x:c>
      <x:c r="H49" s="27" t="str">
        <x:v>hhm0a4ddtaa.sn.mynetname.net</x:v>
      </x:c>
      <x:c r="I49" s="33" t="n">
        <x:v>3199</x:v>
      </x:c>
      <x:c r="J49" s="28" t="str">
        <x:v>NÃO INFORMADO</x:v>
      </x:c>
    </x:row>
    <x:row r="50" ht="30" customHeight="1">
      <x:c r="A50" s="26" t="str">
        <x:v>TEOFILO OTONI</x:v>
      </x:c>
      <x:c r="B50" s="27" t="str">
        <x:v>TORRE</x:v>
      </x:c>
      <x:c r="C50" s="27" t="str">
        <x:v>TEOFILO OTONI TORRE</x:v>
      </x:c>
      <x:c r="D50" s="27" t="str">
        <x:v>Conexão VIP</x:v>
      </x:c>
      <x:c r="E50" s="27" t="str">
        <x:v>ether1</x:v>
      </x:c>
      <x:c r="F50" s="27" t="str">
        <x:v>DHCP (usando 192.168.1.x)</x:v>
      </x:c>
      <x:c r="G50" s="27" t="str">
        <x:v>ativo</x:v>
      </x:c>
      <x:c r="H50" s="27" t="str">
        <x:v>hhm0a3pz39y.sn.mynetname.net</x:v>
      </x:c>
      <x:c r="I50" s="33" t="n">
        <x:v>3199</x:v>
      </x:c>
      <x:c r="J50" s="28" t="str">
        <x:v>NÃO INFORMADO</x:v>
      </x:c>
    </x:row>
    <x:row r="51" ht="30" customHeight="1">
      <x:c r="A51" s="26" t="str">
        <x:v>TEOFILO OTONI</x:v>
      </x:c>
      <x:c r="B51" s="27" t="str">
        <x:v>TORRE</x:v>
      </x:c>
      <x:c r="C51" s="27" t="str">
        <x:v>TEOFILO OTONI TORRE</x:v>
      </x:c>
      <x:c r="D51" s="27" t="str">
        <x:v>INET</x:v>
      </x:c>
      <x:c r="E51" s="27" t="str">
        <x:v>ether2</x:v>
      </x:c>
      <x:c r="F51" s="27" t="str">
        <x:v>DHCP (usando 192.168.1.x)</x:v>
      </x:c>
      <x:c r="G51" s="27" t="str">
        <x:v>ativo</x:v>
      </x:c>
      <x:c r="H51" s="27" t="str">
        <x:v>hhm0a3pz39y.sn.mynetname.net</x:v>
      </x:c>
      <x:c r="I51" s="33" t="n">
        <x:v>3199</x:v>
      </x:c>
      <x:c r="J51" s="28" t="str">
        <x:v>NÃO INFORMADO</x:v>
      </x:c>
    </x:row>
    <x:row r="52" ht="30" customHeight="1">
      <x:c r="A52" s="26" t="str">
        <x:v>UBA</x:v>
      </x:c>
      <x:c r="B52" s="27" t="str">
        <x:v>ESTÚDIO</x:v>
      </x:c>
      <x:c r="C52" s="27" t="str">
        <x:v>UBA ESTUDIO</x:v>
      </x:c>
      <x:c r="D52" s="27" t="str">
        <x:v>GIGANETMG</x:v>
      </x:c>
      <x:c r="E52" s="27" t="str">
        <x:v>ether2</x:v>
      </x:c>
      <x:c r="F52" s="27" t="str">
        <x:v>DHCP</x:v>
      </x:c>
      <x:c r="G52" s="27" t="str">
        <x:v>NÃO INFORMADO</x:v>
      </x:c>
      <x:c r="H52" s="27" t="str">
        <x:v>hhj0a689vc8.sn.mynetname.net</x:v>
      </x:c>
      <x:c r="I52" s="33" t="n">
        <x:v>3199</x:v>
      </x:c>
      <x:c r="J52" s="28" t="str">
        <x:v>NÃO INFORMADO</x:v>
      </x:c>
    </x:row>
    <x:row r="53" ht="30" customHeight="1">
      <x:c r="A53" s="26" t="str">
        <x:v>UBA</x:v>
      </x:c>
      <x:c r="B53" s="27" t="str">
        <x:v>ESTÚDIO</x:v>
      </x:c>
      <x:c r="C53" s="27" t="str">
        <x:v>UBA ESTUDIO</x:v>
      </x:c>
      <x:c r="D53" s="27" t="str">
        <x:v>NÃO INFORMADO</x:v>
      </x:c>
      <x:c r="E53" s="27" t="str">
        <x:v>NÃO INFORMADO</x:v>
      </x:c>
      <x:c r="F53" s="27" t="str">
        <x:v>NÃO INFORMADO</x:v>
      </x:c>
      <x:c r="G53" s="27" t="str">
        <x:v>via BH</x:v>
      </x:c>
      <x:c r="H53" s="27" t="str">
        <x:v>hgr0aftr7z6.sn.mynetname.net</x:v>
      </x:c>
      <x:c r="I53" s="33" t="n">
        <x:v>3208</x:v>
      </x:c>
      <x:c r="J53" s="28" t="str">
        <x:v>Via BH</x:v>
      </x:c>
    </x:row>
    <x:row r="54" ht="30" customHeight="1">
      <x:c r="A54" s="26" t="str">
        <x:v>UBA</x:v>
      </x:c>
      <x:c r="B54" s="27" t="str">
        <x:v>TORRE</x:v>
      </x:c>
      <x:c r="C54" s="27" t="str">
        <x:v>UBA TORRE</x:v>
      </x:c>
      <x:c r="D54" s="27" t="str">
        <x:v>UBA CONECT</x:v>
      </x:c>
      <x:c r="E54" s="27" t="str">
        <x:v>ether1</x:v>
      </x:c>
      <x:c r="F54" s="27" t="str">
        <x:v>DHCP</x:v>
      </x:c>
      <x:c r="G54" s="27" t="str">
        <x:v>NÃO INFORMADO</x:v>
      </x:c>
      <x:c r="H54" s="27" t="str">
        <x:v>hfj0952nsqs.sn.mynetname.net</x:v>
      </x:c>
      <x:c r="I54" s="33" t="n">
        <x:v>3199</x:v>
      </x:c>
      <x:c r="J54" s="28" t="str">
        <x:v>NÃO INFORMADO</x:v>
      </x:c>
    </x:row>
    <x:row r="55" ht="30" customHeight="1">
      <x:c r="A55" s="26" t="str">
        <x:v>UBA</x:v>
      </x:c>
      <x:c r="B55" s="27" t="str">
        <x:v>TORRE</x:v>
      </x:c>
      <x:c r="C55" s="27" t="str">
        <x:v>UBA TORRE</x:v>
      </x:c>
      <x:c r="D55" s="27" t="str">
        <x:v>NÃO INFORMADO</x:v>
      </x:c>
      <x:c r="E55" s="27" t="str">
        <x:v>NÃO INFORMADO</x:v>
      </x:c>
      <x:c r="F55" s="27" t="str">
        <x:v>NÃO INFORMADO</x:v>
      </x:c>
      <x:c r="G55" s="27" t="str">
        <x:v>via BH</x:v>
      </x:c>
      <x:c r="H55" s="27" t="str">
        <x:v>hgr0aftr7z6.sn.mynetname.net</x:v>
      </x:c>
      <x:c r="I55" s="33" t="n">
        <x:v>32008</x:v>
      </x:c>
      <x:c r="J55" s="28" t="str">
        <x:v>Via BH</x:v>
      </x:c>
    </x:row>
    <x:row r="56" ht="30" customHeight="1">
      <x:c r="A56" s="26" t="str">
        <x:v>UBERABA</x:v>
      </x:c>
      <x:c r="B56" s="27" t="str">
        <x:v>NÃO INFORMADO</x:v>
      </x:c>
      <x:c r="C56" s="27" t="str">
        <x:v>UBERABA</x:v>
      </x:c>
      <x:c r="D56" s="27" t="str">
        <x:v>ALGAR</x:v>
      </x:c>
      <x:c r="E56" s="27" t="str">
        <x:v>ether1</x:v>
      </x:c>
      <x:c r="F56" s="27" t="str">
        <x:v>+IP</x:v>
      </x:c>
      <x:c r="G56" s="27" t="str">
        <x:v>NÃO INFORMADO</x:v>
      </x:c>
      <x:c r="H56" s="27" t="str">
        <x:v>hhj0a6ke2ab.sn.mynetname.net</x:v>
      </x:c>
      <x:c r="I56" s="33" t="n">
        <x:v>3199</x:v>
      </x:c>
      <x:c r="J56" s="28" t="str">
        <x:v>NÃO INFORMADO</x:v>
      </x:c>
    </x:row>
    <x:row r="57" ht="30" customHeight="1">
      <x:c r="A57" s="26" t="str">
        <x:v>UBERLANDIA</x:v>
      </x:c>
      <x:c r="B57" s="27" t="str">
        <x:v>NÃO INFORMADO</x:v>
      </x:c>
      <x:c r="C57" s="27" t="str">
        <x:v>UBERLANDIA</x:v>
      </x:c>
      <x:c r="D57" s="27" t="str">
        <x:v>ALGAR</x:v>
      </x:c>
      <x:c r="E57" s="27" t="str">
        <x:v>ether1</x:v>
      </x:c>
      <x:c r="F57" s="27" t="str">
        <x:v>+IP</x:v>
      </x:c>
      <x:c r="G57" s="27" t="str">
        <x:v>NÃO INFORMADO</x:v>
      </x:c>
      <x:c r="H57" s="27" t="str">
        <x:v>hhj0a6crybz.sn.mynetname.net</x:v>
      </x:c>
      <x:c r="I57" s="33" t="n">
        <x:v>3199</x:v>
      </x:c>
      <x:c r="J57" s="28" t="str">
        <x:v>NÃO INFORMADO</x:v>
      </x:c>
    </x:row>
    <x:row r="58" ht="30" customHeight="1">
      <x:c r="A58" s="26" t="str">
        <x:v>UBERLANDIA</x:v>
      </x:c>
      <x:c r="B58" s="27" t="str">
        <x:v>TORRE</x:v>
      </x:c>
      <x:c r="C58" s="27" t="str">
        <x:v>UBERLANDIA TORRE</x:v>
      </x:c>
      <x:c r="D58" s="27" t="str">
        <x:v>ALGAR</x:v>
      </x:c>
      <x:c r="E58" s="27" t="str">
        <x:v>ether1</x:v>
      </x:c>
      <x:c r="F58" s="27" t="str">
        <x:v>+IP</x:v>
      </x:c>
      <x:c r="G58" s="27" t="str">
        <x:v>NÃO INFORMADO</x:v>
      </x:c>
      <x:c r="H58" s="27" t="str">
        <x:v>hhd0a4mcmb4.sn.mynetname.net</x:v>
      </x:c>
      <x:c r="I58" s="33" t="n">
        <x:v>3199</x:v>
      </x:c>
      <x:c r="J58" s="28" t="str">
        <x:v>NÃO INFORMADO</x:v>
      </x:c>
    </x:row>
    <x:row r="59" ht="30" customHeight="1">
      <x:c r="A59" s="26" t="str">
        <x:v>VARGINHA</x:v>
      </x:c>
      <x:c r="B59" s="27" t="str">
        <x:v>NÃO INFORMADO</x:v>
      </x:c>
      <x:c r="C59" s="27" t="str">
        <x:v>VARGINHA</x:v>
      </x:c>
      <x:c r="D59" s="27" t="str">
        <x:v>ALGAR</x:v>
      </x:c>
      <x:c r="E59" s="27" t="str">
        <x:v>ether1</x:v>
      </x:c>
      <x:c r="F59" s="27" t="str">
        <x:v>+IP</x:v>
      </x:c>
      <x:c r="G59" s="27" t="str">
        <x:v>NÃO INFORMADO</x:v>
      </x:c>
      <x:c r="H59" s="27" t="str">
        <x:v>hhj0af6bkxm.sn.mynetname.net</x:v>
      </x:c>
      <x:c r="I59" s="33" t="n">
        <x:v>3199</x:v>
      </x:c>
      <x:c r="J59" s="28" t="str">
        <x:v>NÃO INFORMADO</x:v>
      </x:c>
    </x:row>
    <x:row r="60" ht="30" customHeight="1">
      <x:c r="A60" s="29" t="str">
        <x:v>VARGINHA</x:v>
      </x:c>
      <x:c r="B60" s="30" t="str">
        <x:v>TORRE</x:v>
      </x:c>
      <x:c r="C60" s="30" t="str">
        <x:v>VARGINHA TORRE</x:v>
      </x:c>
      <x:c r="D60" s="30" t="str">
        <x:v>STARLINK</x:v>
      </x:c>
      <x:c r="E60" s="30" t="str">
        <x:v>ether2</x:v>
      </x:c>
      <x:c r="F60" s="30" t="str">
        <x:v>DHCP</x:v>
      </x:c>
      <x:c r="G60" s="30" t="str">
        <x:v>NÃO INFORMADO</x:v>
      </x:c>
      <x:c r="H60" s="30" t="str">
        <x:v>het095bwt04.sn.mynetname.net</x:v>
      </x:c>
      <x:c r="I60" s="34" t="n">
        <x:v>32020</x:v>
      </x:c>
      <x:c r="J60" s="31" t="str">
        <x:v>Via BH</x:v>
      </x:c>
    </x:row>
  </x:sheetData>
  <x:mergeCells>
    <x:mergeCell ref="A1:J1"/>
    <x:mergeCell ref="A2:J2"/>
  </x:mergeCells>
  <x:conditionalFormatting sqref="G5:G60">
    <x:cfRule type="containsText" dxfId="8" priority="1" operator="containsText" text="fora"/>
    <x:cfRule type="containsText" dxfId="9" priority="2" operator="containsText" text="ativo"/>
    <x:cfRule type="containsText" dxfId="10" priority="3" operator="containsText" text="atual"/>
    <x:cfRule type="containsText" dxfId="11" priority="4" operator="containsText" text="NÃO INFORMADO"/>
  </x:conditionalFormatting>
  <x:pageMargins left="0.7" right="0.7" top="0.75" bottom="0.75" header="0.3" footer="0.3"/>
  <x:tableParts count="1">
    <x:tablePart xmlns:r="http://schemas.openxmlformats.org/officeDocument/2006/relationships" r:id="Rb735a0e69be044a9"/>
  </x:tableParts>
</x:worksheet>
</file>